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puts" sheetId="1" state="visible" r:id="rId3"/>
    <sheet name="Unit economics" sheetId="2" state="visible" r:id="rId4"/>
    <sheet name="Capacity" sheetId="3" state="visible" r:id="rId5"/>
    <sheet name="Lead sources" sheetId="4" state="visible" r:id="rId6"/>
    <sheet name="Installed base" sheetId="5" state="visible" r:id="rId7"/>
    <sheet name="Plan" sheetId="6" state="visible" r:id="rId8"/>
    <sheet name="Quarters" sheetId="7" state="visible" r:id="rId9"/>
    <sheet name="Decision rules" sheetId="8" state="visible" r:id="rId10"/>
    <sheet name="Trust checks"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<sst xmlns="http://schemas.openxmlformats.org/spreadsheetml/2006/main" count="554" uniqueCount="476">
  <si>
    <t xml:space="preserve">Inputs: every figure taken from the TriFlow data pack</t>
  </si>
  <si>
    <t xml:space="preserve">Blue = taken from an exhibit (source in column C). Yellow = my assumption, stated as such. Every other sheet references these cells.</t>
  </si>
  <si>
    <t xml:space="preserve">Item</t>
  </si>
  <si>
    <t xml:space="preserve">Value</t>
  </si>
  <si>
    <t xml:space="preserve">Source</t>
  </si>
  <si>
    <t xml:space="preserve">Revenue, last twelve months</t>
  </si>
  <si>
    <t xml:space="preserve">Exhibit 1</t>
  </si>
  <si>
    <t xml:space="preserve">Restoration revenue</t>
  </si>
  <si>
    <t xml:space="preserve">Restoration gross margin</t>
  </si>
  <si>
    <t xml:space="preserve">Maintenance Program revenue</t>
  </si>
  <si>
    <t xml:space="preserve">Maintenance gross margin</t>
  </si>
  <si>
    <t xml:space="preserve">Equipment service and parts revenue</t>
  </si>
  <si>
    <t xml:space="preserve">Equipment gross margin</t>
  </si>
  <si>
    <t xml:space="preserve">Licensing revenue</t>
  </si>
  <si>
    <t xml:space="preserve">Licensing gross margin</t>
  </si>
  <si>
    <t xml:space="preserve">Adjusted EBITDA</t>
  </si>
  <si>
    <t xml:space="preserve">Exhibit 1 note</t>
  </si>
  <si>
    <t xml:space="preserve">Revenue growth over the last two years</t>
  </si>
  <si>
    <t xml:space="preserve">Recurring share of revenue, two years ago</t>
  </si>
  <si>
    <t xml:space="preserve">Field crews</t>
  </si>
  <si>
    <t xml:space="preserve">Exhibit 5</t>
  </si>
  <si>
    <t xml:space="preserve">Productive weeks per crew per year</t>
  </si>
  <si>
    <t xml:space="preserve">Crew-weeks per Restoration job</t>
  </si>
  <si>
    <t xml:space="preserve">Crew-weeks per Maintenance visit</t>
  </si>
  <si>
    <t xml:space="preserve">Restoration jobs completed, LTM</t>
  </si>
  <si>
    <t xml:space="preserve">Maintenance visits completed, LTM</t>
  </si>
  <si>
    <t xml:space="preserve">Revenue self-performed, LTM</t>
  </si>
  <si>
    <t xml:space="preserve">Gross margin, self-performed work</t>
  </si>
  <si>
    <t xml:space="preserve">Revenue subcontracted, LTM</t>
  </si>
  <si>
    <t xml:space="preserve">Gross margin, subcontracted work</t>
  </si>
  <si>
    <t xml:space="preserve">Subcontractor cost, LTM</t>
  </si>
  <si>
    <t xml:space="preserve">Subcontractor cost, two years ago</t>
  </si>
  <si>
    <t xml:space="preserve">Assets restored, all time</t>
  </si>
  <si>
    <t xml:space="preserve">Exhibit 3</t>
  </si>
  <si>
    <t xml:space="preserve">Assets receiving annual maintenance</t>
  </si>
  <si>
    <t xml:space="preserve">   on a signed five-year agreement</t>
  </si>
  <si>
    <t xml:space="preserve">   on handshake terms (no agreement)</t>
  </si>
  <si>
    <t xml:space="preserve">   handshake customers</t>
  </si>
  <si>
    <t xml:space="preserve">Assets restored, no maintenance</t>
  </si>
  <si>
    <t xml:space="preserve">   addressable cross-sell assets (active customers)</t>
  </si>
  <si>
    <t xml:space="preserve">   not addressable</t>
  </si>
  <si>
    <t xml:space="preserve">Agreements due for renewal in 12 months (known)</t>
  </si>
  <si>
    <t xml:space="preserve">Share of agreement records with an expiry date</t>
  </si>
  <si>
    <t xml:space="preserve">Exhibit 3 ('roughly a third')</t>
  </si>
  <si>
    <t xml:space="preserve">Contract escalator</t>
  </si>
  <si>
    <t xml:space="preserve">Exhibit 1 / 3</t>
  </si>
  <si>
    <t xml:space="preserve">Escalator observed on one large account</t>
  </si>
  <si>
    <t xml:space="preserve">Exhibit 3 note</t>
  </si>
  <si>
    <t xml:space="preserve">Distinct customers, eight years</t>
  </si>
  <si>
    <t xml:space="preserve">Exhibit 2</t>
  </si>
  <si>
    <t xml:space="preserve">Customers active in last 24 months</t>
  </si>
  <si>
    <t xml:space="preserve">Lapsed customers (no contact)</t>
  </si>
  <si>
    <t xml:space="preserve">Average customer lifetime revenue</t>
  </si>
  <si>
    <t xml:space="preserve">Customers who bought Restoration since Jan 2023</t>
  </si>
  <si>
    <t xml:space="preserve">Exhibit 4</t>
  </si>
  <si>
    <t xml:space="preserve">   of which later bought Maintenance</t>
  </si>
  <si>
    <t xml:space="preserve">Maintenance assets added, LTM</t>
  </si>
  <si>
    <t xml:space="preserve">Maintenance assets lost, LTM</t>
  </si>
  <si>
    <t xml:space="preserve">Median months, Restoration to first Maintenance sale</t>
  </si>
  <si>
    <t xml:space="preserve">Median months, first contact to award</t>
  </si>
  <si>
    <t xml:space="preserve">Exhibit 7</t>
  </si>
  <si>
    <t xml:space="preserve">25th percentile months to award</t>
  </si>
  <si>
    <t xml:space="preserve">New-customer wins, LTM</t>
  </si>
  <si>
    <t xml:space="preserve">Exhibit 6 / 7</t>
  </si>
  <si>
    <t xml:space="preserve">Wins with a source recorded</t>
  </si>
  <si>
    <t xml:space="preserve">Wins with first contact more than 12 months before award</t>
  </si>
  <si>
    <t xml:space="preserve">National universe of systems</t>
  </si>
  <si>
    <t xml:space="preserve">Exhibit 8</t>
  </si>
  <si>
    <t xml:space="preserve">Top-tier fit systems</t>
  </si>
  <si>
    <t xml:space="preserve">Second-tier fit systems</t>
  </si>
  <si>
    <t xml:space="preserve">Systems with a public regulatory deficiency</t>
  </si>
  <si>
    <t xml:space="preserve">   rated significant</t>
  </si>
  <si>
    <t xml:space="preserve">Systems in the five licensed states</t>
  </si>
  <si>
    <t xml:space="preserve">Consulting engineering firms already worked for</t>
  </si>
  <si>
    <t xml:space="preserve">Restored assets via those firms</t>
  </si>
  <si>
    <t xml:space="preserve">Industrial sites with a federal record of a degraded asset</t>
  </si>
  <si>
    <t xml:space="preserve">Multi-site utility parents</t>
  </si>
  <si>
    <t xml:space="preserve">Exhibit 2 note</t>
  </si>
  <si>
    <t xml:space="preserve">Program budget, year one</t>
  </si>
  <si>
    <t xml:space="preserve">Brief 3.1</t>
  </si>
  <si>
    <t xml:space="preserve">Paid search spend, LTM</t>
  </si>
  <si>
    <t xml:space="preserve">Exhibit 6 / 9</t>
  </si>
  <si>
    <t xml:space="preserve">Trade-show spend, LTM</t>
  </si>
  <si>
    <t xml:space="preserve">Unit economics by line: where the gross profit actually is</t>
  </si>
  <si>
    <t xml:space="preserve">All formulas. Gross profit = revenue x gross margin from Exhibit 1.</t>
  </si>
  <si>
    <t xml:space="preserve">Line</t>
  </si>
  <si>
    <t xml:space="preserve">Revenue</t>
  </si>
  <si>
    <t xml:space="preserve">Share of revenue</t>
  </si>
  <si>
    <t xml:space="preserve">Gross profit</t>
  </si>
  <si>
    <t xml:space="preserve">Share of gross profit</t>
  </si>
  <si>
    <t xml:space="preserve">Units</t>
  </si>
  <si>
    <t xml:space="preserve">GP per unit</t>
  </si>
  <si>
    <t xml:space="preserve">Restoration</t>
  </si>
  <si>
    <t xml:space="preserve">Maintenance Program</t>
  </si>
  <si>
    <t xml:space="preserve">Equipment service and parts</t>
  </si>
  <si>
    <t xml:space="preserve">Licensing</t>
  </si>
  <si>
    <t xml:space="preserve">Total</t>
  </si>
  <si>
    <t xml:space="preserve">Blended gross margin (check against Exhibit 1: 39.1%)</t>
  </si>
  <si>
    <t xml:space="preserve">Per-unit figures</t>
  </si>
  <si>
    <t xml:space="preserve">Average Restoration job, revenue</t>
  </si>
  <si>
    <t xml:space="preserve">Average Restoration job, gross profit (blended 27%)</t>
  </si>
  <si>
    <t xml:space="preserve">Maintenance revenue per asset per year</t>
  </si>
  <si>
    <t xml:space="preserve">Maintenance gross profit per asset per year</t>
  </si>
  <si>
    <t xml:space="preserve">Maintenance revenue per asset over a five-year term (no escalator)</t>
  </si>
  <si>
    <t xml:space="preserve">Maintenance gross profit per asset over a five-year term (no escalator)</t>
  </si>
  <si>
    <t xml:space="preserve">Maintenance: share of revenue</t>
  </si>
  <si>
    <t xml:space="preserve">Maintenance: share of gross profit</t>
  </si>
  <si>
    <t xml:space="preserve">Restoration: share of revenue</t>
  </si>
  <si>
    <t xml:space="preserve">Restoration: share of gross profit</t>
  </si>
  <si>
    <t xml:space="preserve">Recurring share of revenue today (check: pack says 30%)</t>
  </si>
  <si>
    <t xml:space="preserve">Capacity: the crews are full, and growth has been bought from subcontractors</t>
  </si>
  <si>
    <t xml:space="preserve">Assumption A1 (yellow): all subcontracted revenue is Restoration work. This is the reading that makes Exhibit 5 reconcile; confirmed or corrected by Amanda's answer to my question 2.</t>
  </si>
  <si>
    <t xml:space="preserve">Measure</t>
  </si>
  <si>
    <t xml:space="preserve">How it is derived</t>
  </si>
  <si>
    <t xml:space="preserve">Crew-weeks available per year</t>
  </si>
  <si>
    <t xml:space="preserve">5 crews x 44 weeks (Exhibit 5)</t>
  </si>
  <si>
    <t xml:space="preserve">Crew-weeks needed for all 58 Restoration jobs</t>
  </si>
  <si>
    <t xml:space="preserve">58 x 2.6</t>
  </si>
  <si>
    <t xml:space="preserve">Crew-weeks needed for all 424 Maintenance visits</t>
  </si>
  <si>
    <t xml:space="preserve">424 x 0.35</t>
  </si>
  <si>
    <t xml:space="preserve">Total crew-weeks of work delivered</t>
  </si>
  <si>
    <t xml:space="preserve">Sum</t>
  </si>
  <si>
    <t xml:space="preserve">Work in excess of own capacity (crew-weeks)</t>
  </si>
  <si>
    <t xml:space="preserve">Work minus capacity. The gap has to be subcontracted work.</t>
  </si>
  <si>
    <t xml:space="preserve">Overrun as a share of capacity</t>
  </si>
  <si>
    <t xml:space="preserve">Restoration jobs implied subcontracted (A1)</t>
  </si>
  <si>
    <t xml:space="preserve">Overrun crew-weeks / 2.6 per job</t>
  </si>
  <si>
    <t xml:space="preserve">Average revenue per subcontracted job (A1)</t>
  </si>
  <si>
    <t xml:space="preserve">$1.641M / implied jobs. Lands inside the municipal ticket range ($22K-65K), which supports A1.</t>
  </si>
  <si>
    <t xml:space="preserve">Restoration jobs self-performed (A1)</t>
  </si>
  <si>
    <t xml:space="preserve">58 minus subcontracted</t>
  </si>
  <si>
    <t xml:space="preserve">Crew-weeks used by self-performed Restoration</t>
  </si>
  <si>
    <t xml:space="preserve">Crew-weeks used by own crews in total</t>
  </si>
  <si>
    <t xml:space="preserve">Self-performed Restoration plus every Maintenance visit</t>
  </si>
  <si>
    <t xml:space="preserve">Utilization of own crews</t>
  </si>
  <si>
    <t xml:space="preserve">This lands at 100%. The crews are full to the week.</t>
  </si>
  <si>
    <t xml:space="preserve">Self-performed Restoration revenue (A1)</t>
  </si>
  <si>
    <t xml:space="preserve">Restoration revenue minus subcontracted revenue</t>
  </si>
  <si>
    <t xml:space="preserve">Gross profit on subcontracted work</t>
  </si>
  <si>
    <t xml:space="preserve">$1.641M x 15%</t>
  </si>
  <si>
    <t xml:space="preserve">Gross profit on self-performed Restoration (A1)</t>
  </si>
  <si>
    <t xml:space="preserve">Total Restoration GP minus subcontracted GP</t>
  </si>
  <si>
    <t xml:space="preserve">Gross margin on self-performed Restoration (A1)</t>
  </si>
  <si>
    <t xml:space="preserve">Implied. Reasonable next to the 45% blended self-performed figure.</t>
  </si>
  <si>
    <t xml:space="preserve">Gross profit per self-performed Restoration job</t>
  </si>
  <si>
    <t xml:space="preserve">Gross profit per subcontracted Restoration job</t>
  </si>
  <si>
    <t xml:space="preserve">Gross profit given up per job handed to a subcontractor</t>
  </si>
  <si>
    <t xml:space="preserve">The price of growing without crews</t>
  </si>
  <si>
    <t xml:space="preserve">Gross profit given up in total, LTM (A1)</t>
  </si>
  <si>
    <t xml:space="preserve">About 40% of adjusted EBITDA</t>
  </si>
  <si>
    <t xml:space="preserve">Gross profit per crew-week, self-performed Restoration</t>
  </si>
  <si>
    <t xml:space="preserve">GP per job / 2.6</t>
  </si>
  <si>
    <t xml:space="preserve">Gross profit per crew-week, Maintenance visit</t>
  </si>
  <si>
    <t xml:space="preserve">GP per asset-year / 0.35</t>
  </si>
  <si>
    <t xml:space="preserve">Revenue growth in dollars over two years</t>
  </si>
  <si>
    <t xml:space="preserve">Growth in subcontractor cost over the same two years</t>
  </si>
  <si>
    <t xml:space="preserve">Subcontractor cost growth as a share of revenue growth</t>
  </si>
  <si>
    <t xml:space="preserve">Most of the growth was bought</t>
  </si>
  <si>
    <t xml:space="preserve">Value of a sixth crew: crew-weeks</t>
  </si>
  <si>
    <t xml:space="preserve">44 weeks</t>
  </si>
  <si>
    <t xml:space="preserve">   if used to bring subcontracted Restoration in-house: jobs</t>
  </si>
  <si>
    <t xml:space="preserve">   gross profit recovered per year</t>
  </si>
  <si>
    <t xml:space="preserve">Jobs x GP given up per job</t>
  </si>
  <si>
    <t xml:space="preserve">   if used for Maintenance visits: assets served</t>
  </si>
  <si>
    <t xml:space="preserve">   gross profit per year at Maintenance economics</t>
  </si>
  <si>
    <t xml:space="preserve">Before the cost of the crew. Job-level margin already carries crew labor on delivered work, so the real cost to net out is equipment, idle weeks, and the licensing path in the constrained state. Needs 126 enrolled assets, which this plan does not yet produce.</t>
  </si>
  <si>
    <t xml:space="preserve">Lead sources: Exhibit 6 with the arithmetic the company has not done</t>
  </si>
  <si>
    <t xml:space="preserve">Gross profit uses the blended Restoration margin of 27%. Exhibit 6 counts new customers only, and mixes cohorts: this year's inquiries next to wins whose first contact was mostly more than a year ago (Exhibit 7).</t>
  </si>
  <si>
    <t xml:space="preserve">Inquiries</t>
  </si>
  <si>
    <t xml:space="preserve">Qualified</t>
  </si>
  <si>
    <t xml:space="preserve">Site visits</t>
  </si>
  <si>
    <t xml:space="preserve">Won</t>
  </si>
  <si>
    <t xml:space="preserve">Revenue won</t>
  </si>
  <si>
    <t xml:space="preserve">Media cost</t>
  </si>
  <si>
    <t xml:space="preserve">Inquiry to win</t>
  </si>
  <si>
    <t xml:space="preserve">Revenue per win</t>
  </si>
  <si>
    <t xml:space="preserve">Gross profit (27%)</t>
  </si>
  <si>
    <t xml:space="preserve">GP after media cost</t>
  </si>
  <si>
    <t xml:space="preserve">Share of new revenue</t>
  </si>
  <si>
    <t xml:space="preserve">Paid search</t>
  </si>
  <si>
    <t xml:space="preserve">Trade-show booth</t>
  </si>
  <si>
    <t xml:space="preserve">Inbound web form (organic)</t>
  </si>
  <si>
    <t xml:space="preserve">Referral from an existing customer</t>
  </si>
  <si>
    <t xml:space="preserve">Introduction from a consulting engineer</t>
  </si>
  <si>
    <t xml:space="preserve">Outbound calling (one salesperson)</t>
  </si>
  <si>
    <t xml:space="preserve">Referral plus engineer introductions: wins</t>
  </si>
  <si>
    <t xml:space="preserve">Referral plus engineer introductions: revenue</t>
  </si>
  <si>
    <t xml:space="preserve">   share of new-customer revenue</t>
  </si>
  <si>
    <t xml:space="preserve">   share of new-customer wins</t>
  </si>
  <si>
    <t xml:space="preserve">Paid search plus trade show: revenue</t>
  </si>
  <si>
    <t xml:space="preserve">   gross profit after media cost</t>
  </si>
  <si>
    <t xml:space="preserve">Repeat-customer Restoration revenue (Ex 1 minus Ex 6)</t>
  </si>
  <si>
    <t xml:space="preserve">Repeat-customer Restoration jobs (Ex 5 minus Ex 6)</t>
  </si>
  <si>
    <t xml:space="preserve">Revenue from existing customers, all lines</t>
  </si>
  <si>
    <t xml:space="preserve">   share of total revenue</t>
  </si>
  <si>
    <t xml:space="preserve">Site visit to win, referral and engineer</t>
  </si>
  <si>
    <t xml:space="preserve">Site visit to win, paid and trade show</t>
  </si>
  <si>
    <t xml:space="preserve">Installed base: the recurring line, what it is worth and what is leaking</t>
  </si>
  <si>
    <t xml:space="preserve">All figures per asset use the Exhibit 1 / Exhibit 3 averages. No assumptions on this sheet.</t>
  </si>
  <si>
    <t xml:space="preserve">Derivation</t>
  </si>
  <si>
    <t xml:space="preserve">Share of restored assets that receive maintenance</t>
  </si>
  <si>
    <t xml:space="preserve">424 / 1,140</t>
  </si>
  <si>
    <t xml:space="preserve">Share of addressable assets (still at active customers) on maintenance</t>
  </si>
  <si>
    <t xml:space="preserve">424 / (424 + 480)</t>
  </si>
  <si>
    <t xml:space="preserve">Customer-level conversion the board uses</t>
  </si>
  <si>
    <t xml:space="preserve">26 / 76 (Exhibit 4)</t>
  </si>
  <si>
    <t xml:space="preserve">Job-level conversion, LTM (nobody has calculated this)</t>
  </si>
  <si>
    <t xml:space="preserve">7 / 58</t>
  </si>
  <si>
    <t xml:space="preserve">Net change in maintenance assets, LTM</t>
  </si>
  <si>
    <t xml:space="preserve">7 added, 9 left</t>
  </si>
  <si>
    <t xml:space="preserve">Attrition rate, LTM</t>
  </si>
  <si>
    <t xml:space="preserve">9 / 424</t>
  </si>
  <si>
    <t xml:space="preserve">Handshake revenue per year (176 assets, no contract)</t>
  </si>
  <si>
    <t xml:space="preserve">Could walk at any time; carries no escalator</t>
  </si>
  <si>
    <t xml:space="preserve">   share of Maintenance revenue on handshake terms</t>
  </si>
  <si>
    <t xml:space="preserve">Escalator not being applied on handshake assets, per year</t>
  </si>
  <si>
    <t xml:space="preserve">5% of handshake revenue, forgone every year and compounding</t>
  </si>
  <si>
    <t xml:space="preserve">Contracted revenue per year (248 assets)</t>
  </si>
  <si>
    <t xml:space="preserve">Escalator shortfall if 3% applied instead of 5% on contracted assets</t>
  </si>
  <si>
    <t xml:space="preserve">Per year, if the one observed account is typical. To be checked.</t>
  </si>
  <si>
    <t xml:space="preserve">Known renewals due in 12 months: revenue</t>
  </si>
  <si>
    <t xml:space="preserve">41 assets, no renewal process</t>
  </si>
  <si>
    <t xml:space="preserve">   gross profit at risk</t>
  </si>
  <si>
    <t xml:space="preserve">Renewals due if the two-thirds without expiry dates behave the same (estimate)</t>
  </si>
  <si>
    <t xml:space="preserve">41 is a floor, not the number</t>
  </si>
  <si>
    <t xml:space="preserve">Average renewals per year implied by 248 assets on five-year terms</t>
  </si>
  <si>
    <t xml:space="preserve">Sanity check on the line above</t>
  </si>
  <si>
    <t xml:space="preserve">Cross-sell population: 480 assets x revenue per asset-year</t>
  </si>
  <si>
    <t xml:space="preserve">If every one enrolled</t>
  </si>
  <si>
    <t xml:space="preserve">   gross profit per year if every one enrolled</t>
  </si>
  <si>
    <t xml:space="preserve">   crew-weeks it would take to serve all 480</t>
  </si>
  <si>
    <t xml:space="preserve">Against 220 available and already full</t>
  </si>
  <si>
    <t xml:space="preserve">Lapsed customers x average lifetime revenue</t>
  </si>
  <si>
    <t xml:space="preserve">52 customers nobody has called. Illustrative of scale only.</t>
  </si>
  <si>
    <t xml:space="preserve">The plan: motions, assumptions, and what each produces in year one</t>
  </si>
  <si>
    <t xml:space="preserve">Yellow cells are my assumptions. Change any of them and the memo figures move. Conservative case: any new Restoration work is delivered by subcontractors at 15%, because the crews are full.</t>
  </si>
  <si>
    <t xml:space="preserve">Assumption or driver</t>
  </si>
  <si>
    <t xml:space="preserve">Basis</t>
  </si>
  <si>
    <t xml:space="preserve">A2: Handshake assets converted to signed agreements in year one</t>
  </si>
  <si>
    <t xml:space="preserve">68 customers already paying every year; the ask is a signature and the escalator</t>
  </si>
  <si>
    <t xml:space="preserve">A3: Year-one enrollment rate on the 480 cross-sell assets</t>
  </si>
  <si>
    <t xml:space="preserve">A program assumption, not a trend. Organic adds last year were 7 across the whole base (under 2% of these 480). The 34% board figure and the 12% job-level rate are on different populations. Sensitivity below runs 5% to 25%.</t>
  </si>
  <si>
    <t xml:space="preserve">A4: Share of year-one enrollments that bill inside year one</t>
  </si>
  <si>
    <t xml:space="preserve">Municipal budgets are annual; industrial can move in weeks (Exhibit 7)</t>
  </si>
  <si>
    <t xml:space="preserve">A5: Known renewals retained</t>
  </si>
  <si>
    <t xml:space="preserve">No process exists today, so there is no baseline; this is a target</t>
  </si>
  <si>
    <t xml:space="preserve">A6: Incremental engineer or referral introductions from a run program</t>
  </si>
  <si>
    <t xml:space="preserve">On a base of 36 inquiries per year from those two sources</t>
  </si>
  <si>
    <t xml:space="preserve">A7: Of those, awards inside year one</t>
  </si>
  <si>
    <t xml:space="preserve">Assumption. The pack has no cycle data by source; warm introductions are assumed to land nearer the 11-month quartile than the 19-month median.</t>
  </si>
  <si>
    <t xml:space="preserve">A8: Multi-site parent portfolio awards in year one</t>
  </si>
  <si>
    <t xml:space="preserve">Four parents, all held by the president</t>
  </si>
  <si>
    <t xml:space="preserve">A9: Systems per portfolio award</t>
  </si>
  <si>
    <t xml:space="preserve">Assumption</t>
  </si>
  <si>
    <t xml:space="preserve">A10: Revenue per municipal system in a portfolio award</t>
  </si>
  <si>
    <t xml:space="preserve">Inside the $22K-65K municipal range</t>
  </si>
  <si>
    <t xml:space="preserve">A11: Lapsed customers reactivated in year one</t>
  </si>
  <si>
    <t xml:space="preserve">About 10% of 52</t>
  </si>
  <si>
    <t xml:space="preserve">A12: Restoration jobs from reactivated customers</t>
  </si>
  <si>
    <t xml:space="preserve">A13: Deficiency-list outbound awards in year one</t>
  </si>
  <si>
    <t xml:space="preserve">Refused as a year-one revenue claim: the cycle is 19 months</t>
  </si>
  <si>
    <t xml:space="preserve">A14: Accounts holding the 480 cross-sell assets</t>
  </si>
  <si>
    <t xml:space="preserve">Not in the pack; asked Amanda. 112 active customers, 68 of them hold handshake assets</t>
  </si>
  <si>
    <t xml:space="preserve">A15: Weeks in Q1 available for selling</t>
  </si>
  <si>
    <t xml:space="preserve">Week one is instrumentation</t>
  </si>
  <si>
    <t xml:space="preserve">A16: Share of portfolio-award systems that enroll in Maintenance</t>
  </si>
  <si>
    <t xml:space="preserve">Above the base rate because the restoration is fresh and the parent relationship is held by the president; still an assumption</t>
  </si>
  <si>
    <t xml:space="preserve">Motion</t>
  </si>
  <si>
    <t xml:space="preserve">Start</t>
  </si>
  <si>
    <t xml:space="preserve">Year-one revenue</t>
  </si>
  <si>
    <t xml:space="preserve">Year-one gross profit</t>
  </si>
  <si>
    <t xml:space="preserve">Run-rate GP per year after year one</t>
  </si>
  <si>
    <t xml:space="preserve">Crew-weeks consumed (own crews)</t>
  </si>
  <si>
    <t xml:space="preserve">Program spend</t>
  </si>
  <si>
    <t xml:space="preserve">Provable?</t>
  </si>
  <si>
    <t xml:space="preserve">How the numbers are built</t>
  </si>
  <si>
    <t xml:space="preserve">1a. Convert 176 handshake assets to signed agreements</t>
  </si>
  <si>
    <t xml:space="preserve">Q1</t>
  </si>
  <si>
    <t xml:space="preserve">Inferred (no comparison group; the whole base is contacted)</t>
  </si>
  <si>
    <t xml:space="preserve">Escalator applied at signature on converted assets. Pure price on work already delivered, so it drops to gross profit at close to 100%. The real prize is securing five years of revenue that can walk today.</t>
  </si>
  <si>
    <t xml:space="preserve">1b. Renewal process on agreements coming due</t>
  </si>
  <si>
    <t xml:space="preserve">Not attributable; this is protected revenue, not new</t>
  </si>
  <si>
    <t xml:space="preserve">Protected, not incremental. Shown so it is not double counted. Excluded from the totals below.</t>
  </si>
  <si>
    <t xml:space="preserve">1c. Cross-sell Maintenance to the 480 un-enrolled assets</t>
  </si>
  <si>
    <t xml:space="preserve">Provable: staggered rollout, half the accounts now, half in six months</t>
  </si>
  <si>
    <t xml:space="preserve">Enrollments x revenue per asset-year x share billing in year one. Spend covers packaging 20 years of before/after performance data per asset.</t>
  </si>
  <si>
    <t xml:space="preserve">2. Run the referral and engineer channel as a program</t>
  </si>
  <si>
    <t xml:space="preserve">Inferred: introductions per quarter against last year's 36; no holdout possible on 8 firms</t>
  </si>
  <si>
    <t xml:space="preserve">Two in-year awards at the engineer average ticket, delivered by subcontractors (15%) because own crews are full. Run rate uses the 50% win rate on incremental introductions, also at 15%.</t>
  </si>
  <si>
    <t xml:space="preserve">3. Multi-site utility parents: portfolio proposals</t>
  </si>
  <si>
    <t xml:space="preserve">Q2</t>
  </si>
  <si>
    <t xml:space="preserve">Inferred: four accounts, all held by the president</t>
  </si>
  <si>
    <t xml:space="preserve">One portfolio award, subcontractor-delivered. Run rate assumes the systems enroll in Maintenance at A16; the crew-weeks are those visits.</t>
  </si>
  <si>
    <t xml:space="preserve">4. Lapsed-customer outreach (52 customers)</t>
  </si>
  <si>
    <t xml:space="preserve">Provable: contact half now, half in Q3</t>
  </si>
  <si>
    <t xml:space="preserve">Three repeat-sized jobs at last year's repeat average, subcontractor-delivered.</t>
  </si>
  <si>
    <t xml:space="preserve">5. Deficiency-flagged outbound to the 190 top-tier fits</t>
  </si>
  <si>
    <t xml:space="preserve">Provable: matched split of the 190, contacted in two waves</t>
  </si>
  <si>
    <t xml:space="preserve">Zero revenue claimed in year one. Measured on first meetings, site visits and registered quotes. Revenue is a year-two answer.</t>
  </si>
  <si>
    <t xml:space="preserve">6. Foundations: CRM asset records, source field, quote register, routed inbound, response commitment, website repair</t>
  </si>
  <si>
    <t xml:space="preserve">Not attributable; this is what makes the rest measurable</t>
  </si>
  <si>
    <t xml:space="preserve">CRM tier with custom objects sized to 900 companies and 1,140 assets, implementation help, website repair and routed form, call routing.</t>
  </si>
  <si>
    <t xml:space="preserve">7. Paid pilot, industrial and remediation only (H2, only if the response commitment is live)</t>
  </si>
  <si>
    <t xml:space="preserve">Q3</t>
  </si>
  <si>
    <t xml:space="preserve">Provable: pre-set cost per site visit rule</t>
  </si>
  <si>
    <t xml:space="preserve">Not counted. Kill rule: if cost per site visit exceeds $3,000 after $10K, stop.</t>
  </si>
  <si>
    <t xml:space="preserve">Totals (revenue and GP exclude 1b, which is protected revenue; spend includes it)</t>
  </si>
  <si>
    <t xml:space="preserve">Contingency and measurement (analyst time, list data, holdout administration)</t>
  </si>
  <si>
    <t xml:space="preserve">Budget check: total spend</t>
  </si>
  <si>
    <t xml:space="preserve">Displacement cost of the crew-weeks the plan consumes (cross-sell plus the portfolio systems)</t>
  </si>
  <si>
    <t xml:space="preserve">Crew-weeks the plan consumes at run rate</t>
  </si>
  <si>
    <t xml:space="preserve">Restoration jobs pushed to subcontractors to free them</t>
  </si>
  <si>
    <t xml:space="preserve">Gross profit given up on those jobs</t>
  </si>
  <si>
    <t xml:space="preserve">Run-rate Maintenance gross profit from the cross-sell and the portfolio systems</t>
  </si>
  <si>
    <t xml:space="preserve">Net gross profit per year after displacement</t>
  </si>
  <si>
    <t xml:space="preserve">Maintenance gross profit secured over five-year terms from year-one enrollments</t>
  </si>
  <si>
    <t xml:space="preserve">Year-one program return</t>
  </si>
  <si>
    <t xml:space="preserve">Year-one gross profit from the plan (conservative, subcontractor-delivered)</t>
  </si>
  <si>
    <t xml:space="preserve">Year-one gross profit minus program spend, before displacement</t>
  </si>
  <si>
    <t xml:space="preserve">Displacement cost inside year one (borrows A4 as the share of visits that fall in year one)</t>
  </si>
  <si>
    <t xml:space="preserve">Year-one gross profit minus program spend, after displacement</t>
  </si>
  <si>
    <t xml:space="preserve">Run-rate gross profit per year after year one (before displacement)</t>
  </si>
  <si>
    <t xml:space="preserve">Run-rate gross profit per year after year one, after displacement</t>
  </si>
  <si>
    <t xml:space="preserve">Protected renewal gross profit (1b), not counted above</t>
  </si>
  <si>
    <t xml:space="preserve">Sensitivity: year-one enrollment rate on the 480 (A3)</t>
  </si>
  <si>
    <t xml:space="preserve">Enrollment rate</t>
  </si>
  <si>
    <t xml:space="preserve">Assets enrolled</t>
  </si>
  <si>
    <t xml:space="preserve">Year-one GP</t>
  </si>
  <si>
    <t xml:space="preserve">Run-rate GP per year</t>
  </si>
  <si>
    <t xml:space="preserve">Crew-weeks</t>
  </si>
  <si>
    <t xml:space="preserve">Foundations (motion 6): what the $45K buys, and what it costs in year two</t>
  </si>
  <si>
    <t xml:space="preserve">Year one</t>
  </si>
  <si>
    <t xml:space="preserve">Year two run cost</t>
  </si>
  <si>
    <t xml:space="preserve">CRM tier with custom objects, sized to about 900 companies and 1,140 assets, per year</t>
  </si>
  <si>
    <t xml:space="preserve">Implementation contractor: asset object, source field, loss stage, quote register, routing</t>
  </si>
  <si>
    <t xml:space="preserve">Website repair: the two broken lead-capture links, a routed inquiry form, hosting that stays up</t>
  </si>
  <si>
    <t xml:space="preserve">Loading the 1,140 asset records and the four baseline lists</t>
  </si>
  <si>
    <t xml:space="preserve">Inbound call routing and timestamping</t>
  </si>
  <si>
    <t xml:space="preserve">Total (ties to motion 6)</t>
  </si>
  <si>
    <t xml:space="preserve">Motion 2 (referral and engineer program): what the $30K buys</t>
  </si>
  <si>
    <t xml:space="preserve">Performance-data case packages for the eight engineering firms, and reference agreements</t>
  </si>
  <si>
    <t xml:space="preserve">Referral kit built into project close-out</t>
  </si>
  <si>
    <t xml:space="preserve">Technical content refresh under a living byline (the authority articles still rank)</t>
  </si>
  <si>
    <t xml:space="preserve">Total (ties to motion 2)</t>
  </si>
  <si>
    <t xml:space="preserve">Motion 5 (deficiency-flagged outbound to the 190): what the $35K buys</t>
  </si>
  <si>
    <t xml:space="preserve">Named contacts for the 190 top-tier systems and the 46 federal-record sites (data vendor)</t>
  </si>
  <si>
    <t xml:space="preserve">Extracting and loading the public deficiency records against each system, with the citation</t>
  </si>
  <si>
    <t xml:space="preserve">Outreach packages and content for the two waves</t>
  </si>
  <si>
    <t xml:space="preserve">List administration and the matched-pair split</t>
  </si>
  <si>
    <t xml:space="preserve">Total (ties to motion 5)</t>
  </si>
  <si>
    <t xml:space="preserve">The sales seam: what the one salesperson is asked to do in Q1</t>
  </si>
  <si>
    <t xml:space="preserve">Handshake customers to see (1a)</t>
  </si>
  <si>
    <t xml:space="preserve">Renewal conversations (1b)</t>
  </si>
  <si>
    <t xml:space="preserve">Cross-sell accounts in wave one (half of A14)</t>
  </si>
  <si>
    <t xml:space="preserve">Lapsed customers in wave one (half of 52)</t>
  </si>
  <si>
    <t xml:space="preserve">Conversations in Q1</t>
  </si>
  <si>
    <t xml:space="preserve">Per selling week (A15)</t>
  </si>
  <si>
    <t xml:space="preserve">Note</t>
  </si>
  <si>
    <t xml:space="preserve">Many are the same customer (a handshake customer often also holds un-enrolled assets), so the true count is lower. Marketing prepares the asset record and the offer for every call; the salesperson's job is the conversation and the signature.</t>
  </si>
  <si>
    <t xml:space="preserve">How small a difference the cross-sell comparison can see (month six)</t>
  </si>
  <si>
    <t xml:space="preserve">Assumed pooled enrollment rate across both groups</t>
  </si>
  <si>
    <t xml:space="preserve">Assets per group (480 split in half)</t>
  </si>
  <si>
    <t xml:space="preserve">Accounts per group (A14 split in half)</t>
  </si>
  <si>
    <t xml:space="preserve">Smallest detectable difference, asset level (80% power, two-sided 5%)</t>
  </si>
  <si>
    <t xml:space="preserve">Smallest detectable difference, account level</t>
  </si>
  <si>
    <t xml:space="preserve">Reading</t>
  </si>
  <si>
    <t xml:space="preserve">Asset-level the test can see a difference of about 7 points. Account-level, which is the honest unit because the conversation happens with the customer, it is closer to 17. I would report both and say which one I trust.</t>
  </si>
  <si>
    <t xml:space="preserve">Sequencing: what starts when, and why that order</t>
  </si>
  <si>
    <t xml:space="preserve">Order rule: shortest path to provable gross profit first, zero crew capacity first, and nothing that adds Restoration demand before the response commitment and the quote register exist.</t>
  </si>
  <si>
    <t xml:space="preserve">Quarter</t>
  </si>
  <si>
    <t xml:space="preserve">What happens</t>
  </si>
  <si>
    <t xml:space="preserve">Why here and not earlier or later</t>
  </si>
  <si>
    <t xml:space="preserve">Week 1: freeze the baseline lists (480, 176, 41, 52), mandatory source field, loss stage, quote register, asset-level CRM records, inbound routing with a named owner and a response commitment, capacity sheet. Weeks 2-13: handshake conversions (1a), renewal calendar (1b), cross-sell wave one to half the accounts (1c), referral ask built into project close-out, engineer program with the 8 firms (2), lapsed outreach wave one (4). Paid search and trade show spend stop.</t>
  </si>
  <si>
    <t xml:space="preserve">These customers already exist, so the 19-month cycle does not apply. Handshake and renewals consume no crew capacity. The instrumentation has to exist before anything else runs or nothing is measurable. Paid search lost money on gross profit last year and its leads had nowhere to land.</t>
  </si>
  <si>
    <t xml:space="preserve">Deficiency-flagged outbound wave one to half of the 190 top-tier fits (5). Multi-site parent portfolio maps for the president (3). Website repair and routed form live. First engineer case studies from the performance data.</t>
  </si>
  <si>
    <t xml:space="preserve">Outbound waits for the source field, quote register and response commitment, otherwise its results cannot be read. The president's four parents are the largest tickets and need the asset map, which takes the CRM work from Q1.</t>
  </si>
  <si>
    <t xml:space="preserve">Cross-sell wave two (the six-month wait group), lapsed wave two. Month-six decision rule on the cross-sell. Paid pilot for industrial and remediation only, if the response commitment is live and the kill rule is agreed.</t>
  </si>
  <si>
    <t xml:space="preserve">Wave two is what makes wave one a comparison rather than an anecdote. Industrial buyers spend from an appropriated budget and can move in weeks, so a small paid pilot there can be judged inside the year; municipal cannot.</t>
  </si>
  <si>
    <t xml:space="preserve">Q4</t>
  </si>
  <si>
    <t xml:space="preserve">Outbound wave two to the second half of the 190, which has stayed untouched for two quarters. Renewal cycle repeats with all 248 agreement records populated. Twelve-month decision rules on outbound and the engineer program. Sixth-crew case built with finance from the capacity sheet. Year-two plan sized to whatever the comparisons showed.</t>
  </si>
  <si>
    <t xml:space="preserve">By Q4 the business has, for the first time, a denominator (quotes), a loss record, a source on every new record, and two contacted-versus-waiting comparisons. Year two gets planned from evidence rather than from the 34% figure.</t>
  </si>
  <si>
    <t xml:space="preserve">Decision rules, set before the results exist</t>
  </si>
  <si>
    <t xml:space="preserve">Numbers agreed in week one. The eight-week gate measures coverage and early installed-base signal; the real scale-or-stop calls are at month six and month twelve.</t>
  </si>
  <si>
    <t xml:space="preserve">When</t>
  </si>
  <si>
    <t xml:space="preserve">Rule</t>
  </si>
  <si>
    <t xml:space="preserve">If it misses</t>
  </si>
  <si>
    <t xml:space="preserve">Week 8</t>
  </si>
  <si>
    <t xml:space="preserve">All 480 cross-sell assets, 176 handshake assets and 41 renewals loaded with an owner and a contact</t>
  </si>
  <si>
    <t xml:space="preserve">100%</t>
  </si>
  <si>
    <t xml:space="preserve">Coverage is the one thing entirely in my control. A miss here is on me.</t>
  </si>
  <si>
    <t xml:space="preserve">New CRM records with a source recorded</t>
  </si>
  <si>
    <t xml:space="preserve">95% or more</t>
  </si>
  <si>
    <t xml:space="preserve">Field is not mandatory; fix the form.</t>
  </si>
  <si>
    <t xml:space="preserve">Median response time on inbound inquiries</t>
  </si>
  <si>
    <t xml:space="preserve">Under one business day</t>
  </si>
  <si>
    <t xml:space="preserve">Routing or ownership is wrong; fix before any demand spend.</t>
  </si>
  <si>
    <t xml:space="preserve">Handshake assets converted to a signed agreement</t>
  </si>
  <si>
    <t xml:space="preserve">20 or more (about 11% of 176)</t>
  </si>
  <si>
    <t xml:space="preserve">Below 10: the offer is wrong, likely the escalator; revisit terms before continuing.</t>
  </si>
  <si>
    <t xml:space="preserve">Cross-sell assets enrolled or in procurement</t>
  </si>
  <si>
    <t xml:space="preserve">12 or more (2.5% of 480)</t>
  </si>
  <si>
    <t xml:space="preserve">Below 6: pause wave one, diagnose, do not kill; eight weeks is short against a 14-month median.</t>
  </si>
  <si>
    <t xml:space="preserve">Restoration new-customer revenue attributable to marketing</t>
  </si>
  <si>
    <t xml:space="preserve">Not reported</t>
  </si>
  <si>
    <t xml:space="preserve">Cannot be known honestly at eight weeks. Will say so on the page.</t>
  </si>
  <si>
    <t xml:space="preserve">Month 6</t>
  </si>
  <si>
    <t xml:space="preserve">Cross-sell enrollment rate, contacted accounts vs six-month-wait accounts</t>
  </si>
  <si>
    <t xml:space="preserve">8 points or more higher: scale to the full base. Under 3 points: stop and move the budget to motions 2 and 5.</t>
  </si>
  <si>
    <t xml:space="preserve">Between 3 and 8: continue one more quarter with the wait group still waiting.</t>
  </si>
  <si>
    <t xml:space="preserve">Lapsed customers reactivated, contacted half vs waiting half</t>
  </si>
  <si>
    <t xml:space="preserve">3 or more from the contacted half and 0 or 1 from the waiting half</t>
  </si>
  <si>
    <t xml:space="preserve">Otherwise stop; the 52 are lapsed for a reason.</t>
  </si>
  <si>
    <t xml:space="preserve">Month 9</t>
  </si>
  <si>
    <t xml:space="preserve">Deficiency outbound: first meetings, site visits, registered quotes, wave one (contacted in Q2) vs wave two (untouched until Q4)</t>
  </si>
  <si>
    <t xml:space="preserve">15 meetings and 5 site visits from wave one against 2 or fewer from the untouched group</t>
  </si>
  <si>
    <t xml:space="preserve">Otherwise stop and put year-two effort into engineers and parents.</t>
  </si>
  <si>
    <t xml:space="preserve">Month 12</t>
  </si>
  <si>
    <t xml:space="preserve">Engineer and referral introductions</t>
  </si>
  <si>
    <t xml:space="preserve">40 or more against last year's 36 (A6: plus four)</t>
  </si>
  <si>
    <t xml:space="preserve">Trend only; eight firms is too few for a comparison group. Say so.</t>
  </si>
  <si>
    <t xml:space="preserve">Paid pilot (industrial and remediation)</t>
  </si>
  <si>
    <t xml:space="preserve">Cost per site visit under $3,000 after $10K</t>
  </si>
  <si>
    <t xml:space="preserve">Stop at $10K if the rule is missed.</t>
  </si>
  <si>
    <t xml:space="preserve">Month 18+</t>
  </si>
  <si>
    <t xml:space="preserve">Marketing-attributed new-customer Restoration revenue</t>
  </si>
  <si>
    <t xml:space="preserve">Reported for the first time, by cohort of first contact</t>
  </si>
  <si>
    <t xml:space="preserve">This is the earliest honest date, given a 19-month median cycle.</t>
  </si>
  <si>
    <t xml:space="preserve">Figures I do not fully believe, with the arithmetic behind each</t>
  </si>
  <si>
    <t xml:space="preserve">Each row: the figure, the check, what the check shows.</t>
  </si>
  <si>
    <t xml:space="preserve">Check</t>
  </si>
  <si>
    <t xml:space="preserve">What it says</t>
  </si>
  <si>
    <t xml:space="preserve">New customers per year (Exhibit 6)</t>
  </si>
  <si>
    <t xml:space="preserve">28 new customers in twelve months</t>
  </si>
  <si>
    <t xml:space="preserve">   x 3.6 years since January 2023</t>
  </si>
  <si>
    <t xml:space="preserve">About 100 new Restoration customers since 2023 at that pace</t>
  </si>
  <si>
    <t xml:space="preserve">   Restoration customers of any kind since January 2023 (Exhibit 4)</t>
  </si>
  <si>
    <t xml:space="preserve">Only 76, new and repeat together. The two cannot both be right unless new-logo wins roughly tripled this year.</t>
  </si>
  <si>
    <t xml:space="preserve">   x 8 years</t>
  </si>
  <si>
    <t xml:space="preserve">224 at that pace</t>
  </si>
  <si>
    <t xml:space="preserve">   Distinct customers in eight years (Exhibit 2)</t>
  </si>
  <si>
    <t xml:space="preserve">164. Same problem. Check what 'new customer' means in Exhibit 6 (new to the CRM? new contact at an old customer?).</t>
  </si>
  <si>
    <t xml:space="preserve">Crew-week arithmetic (Exhibit 5)</t>
  </si>
  <si>
    <t xml:space="preserve">299 crew-weeks of work against 220 available</t>
  </si>
  <si>
    <t xml:space="preserve">   reconciles if this many jobs were subcontracted</t>
  </si>
  <si>
    <t xml:space="preserve">About 30 jobs at about $54K each. Self-performed work then lands at 220 crew-weeks against 220 available: full to the week. Reconciles, but only under A1.</t>
  </si>
  <si>
    <t xml:space="preserve">'Top decile' label on the 190 (Exhibit 8): share of national universe</t>
  </si>
  <si>
    <t xml:space="preserve">0.15%, not 10%</t>
  </si>
  <si>
    <t xml:space="preserve">   share of the scored population (190 + 4,100)</t>
  </si>
  <si>
    <t xml:space="preserve">4.4%, not 10%</t>
  </si>
  <si>
    <t xml:space="preserve">   share of the five licensed states</t>
  </si>
  <si>
    <t xml:space="preserve">1%, not 10%. The 190 may be excellent; 'top decile' is not what it is.</t>
  </si>
  <si>
    <t xml:space="preserve">Lifetime revenue implied by Exhibit 2: 164 x $205K</t>
  </si>
  <si>
    <t xml:space="preserve">$33.6M</t>
  </si>
  <si>
    <t xml:space="preserve">   revenue two years ago</t>
  </si>
  <si>
    <t xml:space="preserve">$7.37M</t>
  </si>
  <si>
    <t xml:space="preserve">   rough eight-year customer revenue if growth was steady at the two-year rate, excluding licensing</t>
  </si>
  <si>
    <t xml:space="preserve">Around $50M. Exhibit 2's lifetime figure is short by a third. Either 'lifetime' means something narrower or the $205K is stale.</t>
  </si>
  <si>
    <t xml:space="preserve">Renewals due (Exhibit 3): known</t>
  </si>
  <si>
    <t xml:space="preserve">From the third of records with a date</t>
  </si>
  <si>
    <t xml:space="preserve">   estimate if the other two-thirds are similar</t>
  </si>
  <si>
    <t xml:space="preserve">Roughly 120. Against 248 on five-year terms (about 50 a year on average) that is high, so the truth is likely between 41 and 120. Populate every expiry date in week one.</t>
  </si>
  <si>
    <t xml:space="preserve">Maintenance revenue growth over two years implied by Exhibit 1</t>
  </si>
  <si>
    <t xml:space="preserve">About 7% over two years, on a base that lost assets net. Escalator on 58% of assets explains most of it only if it was actually applied at 5%. Consistent with the 3% observation not being typical, or with price increases elsewhere. Check the invoices.</t>
  </si>
  <si>
    <t xml:space="preserve">Email: government open rate (Exhibit 7)</t>
  </si>
  <si>
    <t xml:space="preserve">Double the private-sector rate, with every link clicked within seconds: security scanners, not people. Every open and click figure in the pack is contaminated. Do not use them.</t>
  </si>
  <si>
    <t xml:space="preserve">Paid search conversion as presented (Exhibit 6)</t>
  </si>
  <si>
    <t xml:space="preserve">Mixes this year's 210 inquiries with wins whose first contact was mostly more than a year ago (Exhibit 7). Not a conversion rate; a cohort mismatch.</t>
  </si>
  <si>
    <t xml:space="preserve">Customers who bought exactly once in eight years (Exhibit 2)</t>
  </si>
  <si>
    <t xml:space="preserve">Ten. If 28 customers were new last year, at least 18 of them have already bought a second time inside twelve months, in a business with a 19-month cycle. Another reason the 28 does not hold.</t>
  </si>
  <si>
    <t xml:space="preserve">Own-crew revenue two years ago, if subcontracting was near zero then</t>
  </si>
  <si>
    <t xml:space="preserve">Roughly $7.3M</t>
  </si>
  <si>
    <t xml:space="preserve">   own-crew revenue now (Exhibit 5)</t>
  </si>
  <si>
    <t xml:space="preserve">$6.76M. If subcontracted work went from near zero to $1.64M while revenue grew $1.03M, the crews delivered about half a million less than two years ago. A crew lost, a shift toward 0.35-week visits, or a large job bought whole. Check: crew count and hours by year.</t>
  </si>
  <si>
    <t xml:space="preserve">Win rate</t>
  </si>
  <si>
    <t xml:space="preserve">n/a</t>
  </si>
  <si>
    <t xml:space="preserve">Unknowable from the records: no quote register, zero losses recorded in six years. Starts from zero on day one.</t>
  </si>
</sst>
</file>

<file path=xl/styles.xml><?xml version="1.0" encoding="utf-8"?>
<styleSheet xmlns="http://schemas.openxmlformats.org/spreadsheetml/2006/main">
  <numFmts count="7">
    <numFmt numFmtId="164" formatCode="General"/>
    <numFmt numFmtId="165" formatCode="\$#,##0;&quot;($&quot;#,##0\);\-"/>
    <numFmt numFmtId="166" formatCode="0.0%"/>
    <numFmt numFmtId="167" formatCode="#,##0;\(#,##0\);\-"/>
    <numFmt numFmtId="168" formatCode="#,##0.0;\(#,##0.0\);\-"/>
    <numFmt numFmtId="169" formatCode="0.00"/>
    <numFmt numFmtId="170" formatCode="0.00%"/>
  </numFmts>
  <fonts count="11">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i val="true"/>
      <sz val="9"/>
      <color rgb="FF555555"/>
      <name val="Arial"/>
      <family val="0"/>
      <charset val="1"/>
    </font>
    <font>
      <b val="true"/>
      <sz val="10"/>
      <name val="Arial"/>
      <family val="0"/>
      <charset val="1"/>
    </font>
    <font>
      <sz val="10"/>
      <color rgb="FF000000"/>
      <name val="Arial"/>
      <family val="0"/>
      <charset val="1"/>
    </font>
    <font>
      <sz val="10"/>
      <color rgb="FF0000FF"/>
      <name val="Arial"/>
      <family val="0"/>
      <charset val="1"/>
    </font>
    <font>
      <sz val="11"/>
      <color theme="1"/>
      <name val="Arial"/>
      <family val="0"/>
      <charset val="1"/>
    </font>
    <font>
      <sz val="10"/>
      <color rgb="FF008000"/>
      <name val="Arial"/>
      <family val="0"/>
      <charset val="1"/>
    </font>
  </fonts>
  <fills count="4">
    <fill>
      <patternFill patternType="none"/>
    </fill>
    <fill>
      <patternFill patternType="gray125"/>
    </fill>
    <fill>
      <patternFill patternType="solid">
        <fgColor rgb="FFEEEEEE"/>
        <bgColor rgb="FFFFFFCC"/>
      </patternFill>
    </fill>
    <fill>
      <patternFill patternType="solid">
        <fgColor rgb="FFFFFF00"/>
        <bgColor rgb="FFFFFF00"/>
      </patternFill>
    </fill>
  </fills>
  <borders count="2">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69" fontId="8"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6" fontId="8" fillId="3" borderId="1" xfId="0" applyFont="true" applyBorder="true" applyAlignment="false" applyProtection="false">
      <alignment horizontal="general" vertical="bottom" textRotation="0" wrapText="false" indent="0" shrinkToFit="false"/>
      <protection locked="true" hidden="false"/>
    </xf>
    <xf numFmtId="167" fontId="8" fillId="3" borderId="1" xfId="0" applyFont="true" applyBorder="tru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5" fontId="8" fillId="3"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6" fontId="8" fillId="3" borderId="0" xfId="0" applyFont="true" applyBorder="false" applyAlignment="false" applyProtection="false">
      <alignment horizontal="general" vertical="bottom" textRotation="0" wrapText="false" indent="0" shrinkToFit="false"/>
      <protection locked="true" hidden="false"/>
    </xf>
    <xf numFmtId="170"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6"/>
    <col collapsed="false" customWidth="true" hidden="false" outlineLevel="0" max="3" min="3" style="0" width="44"/>
  </cols>
  <sheetData>
    <row r="1" customFormat="false" ht="16.1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c r="C4" s="3" t="s">
        <v>4</v>
      </c>
    </row>
    <row r="5" customFormat="false" ht="15" hidden="false" customHeight="false" outlineLevel="0" collapsed="false">
      <c r="A5" s="4" t="s">
        <v>5</v>
      </c>
      <c r="B5" s="5" t="n">
        <v>8400000</v>
      </c>
      <c r="C5" s="2" t="s">
        <v>6</v>
      </c>
    </row>
    <row r="6" customFormat="false" ht="15" hidden="false" customHeight="false" outlineLevel="0" collapsed="false">
      <c r="A6" s="4" t="s">
        <v>7</v>
      </c>
      <c r="B6" s="5" t="n">
        <v>3780000</v>
      </c>
      <c r="C6" s="2" t="s">
        <v>6</v>
      </c>
    </row>
    <row r="7" customFormat="false" ht="15" hidden="false" customHeight="false" outlineLevel="0" collapsed="false">
      <c r="A7" s="4" t="s">
        <v>8</v>
      </c>
      <c r="B7" s="6" t="n">
        <v>0.27</v>
      </c>
      <c r="C7" s="2" t="s">
        <v>6</v>
      </c>
    </row>
    <row r="8" customFormat="false" ht="15" hidden="false" customHeight="false" outlineLevel="0" collapsed="false">
      <c r="A8" s="4" t="s">
        <v>9</v>
      </c>
      <c r="B8" s="5" t="n">
        <v>2520000</v>
      </c>
      <c r="C8" s="2" t="s">
        <v>6</v>
      </c>
    </row>
    <row r="9" customFormat="false" ht="15" hidden="false" customHeight="false" outlineLevel="0" collapsed="false">
      <c r="A9" s="4" t="s">
        <v>10</v>
      </c>
      <c r="B9" s="6" t="n">
        <v>0.64</v>
      </c>
      <c r="C9" s="2" t="s">
        <v>6</v>
      </c>
    </row>
    <row r="10" customFormat="false" ht="15" hidden="false" customHeight="false" outlineLevel="0" collapsed="false">
      <c r="A10" s="4" t="s">
        <v>11</v>
      </c>
      <c r="B10" s="5" t="n">
        <v>1764000</v>
      </c>
      <c r="C10" s="2" t="s">
        <v>6</v>
      </c>
    </row>
    <row r="11" customFormat="false" ht="15" hidden="false" customHeight="false" outlineLevel="0" collapsed="false">
      <c r="A11" s="4" t="s">
        <v>12</v>
      </c>
      <c r="B11" s="6" t="n">
        <v>0.19</v>
      </c>
      <c r="C11" s="2" t="s">
        <v>6</v>
      </c>
    </row>
    <row r="12" customFormat="false" ht="15" hidden="false" customHeight="false" outlineLevel="0" collapsed="false">
      <c r="A12" s="4" t="s">
        <v>13</v>
      </c>
      <c r="B12" s="5" t="n">
        <v>336000</v>
      </c>
      <c r="C12" s="2" t="s">
        <v>6</v>
      </c>
    </row>
    <row r="13" customFormat="false" ht="15" hidden="false" customHeight="false" outlineLevel="0" collapsed="false">
      <c r="A13" s="4" t="s">
        <v>14</v>
      </c>
      <c r="B13" s="6" t="n">
        <v>0.95</v>
      </c>
      <c r="C13" s="2" t="s">
        <v>6</v>
      </c>
    </row>
    <row r="14" customFormat="false" ht="15" hidden="false" customHeight="false" outlineLevel="0" collapsed="false">
      <c r="A14" s="4" t="s">
        <v>15</v>
      </c>
      <c r="B14" s="5" t="n">
        <v>1500000</v>
      </c>
      <c r="C14" s="2" t="s">
        <v>16</v>
      </c>
    </row>
    <row r="15" customFormat="false" ht="15" hidden="false" customHeight="false" outlineLevel="0" collapsed="false">
      <c r="A15" s="4" t="s">
        <v>17</v>
      </c>
      <c r="B15" s="6" t="n">
        <v>0.14</v>
      </c>
      <c r="C15" s="2" t="s">
        <v>16</v>
      </c>
    </row>
    <row r="16" customFormat="false" ht="15" hidden="false" customHeight="false" outlineLevel="0" collapsed="false">
      <c r="A16" s="4" t="s">
        <v>18</v>
      </c>
      <c r="B16" s="6" t="n">
        <v>0.32</v>
      </c>
      <c r="C16" s="2" t="s">
        <v>16</v>
      </c>
    </row>
    <row r="17" customFormat="false" ht="15" hidden="false" customHeight="false" outlineLevel="0" collapsed="false">
      <c r="A17" s="4" t="s">
        <v>19</v>
      </c>
      <c r="B17" s="7" t="n">
        <v>5</v>
      </c>
      <c r="C17" s="2" t="s">
        <v>20</v>
      </c>
    </row>
    <row r="18" customFormat="false" ht="15" hidden="false" customHeight="false" outlineLevel="0" collapsed="false">
      <c r="A18" s="4" t="s">
        <v>21</v>
      </c>
      <c r="B18" s="7" t="n">
        <v>44</v>
      </c>
      <c r="C18" s="2" t="s">
        <v>20</v>
      </c>
    </row>
    <row r="19" customFormat="false" ht="15" hidden="false" customHeight="false" outlineLevel="0" collapsed="false">
      <c r="A19" s="4" t="s">
        <v>22</v>
      </c>
      <c r="B19" s="8" t="n">
        <v>2.6</v>
      </c>
      <c r="C19" s="2" t="s">
        <v>20</v>
      </c>
    </row>
    <row r="20" customFormat="false" ht="15" hidden="false" customHeight="false" outlineLevel="0" collapsed="false">
      <c r="A20" s="4" t="s">
        <v>23</v>
      </c>
      <c r="B20" s="9" t="n">
        <v>0.35</v>
      </c>
      <c r="C20" s="2" t="s">
        <v>20</v>
      </c>
    </row>
    <row r="21" customFormat="false" ht="15" hidden="false" customHeight="false" outlineLevel="0" collapsed="false">
      <c r="A21" s="4" t="s">
        <v>24</v>
      </c>
      <c r="B21" s="7" t="n">
        <v>58</v>
      </c>
      <c r="C21" s="2" t="s">
        <v>20</v>
      </c>
    </row>
    <row r="22" customFormat="false" ht="15" hidden="false" customHeight="false" outlineLevel="0" collapsed="false">
      <c r="A22" s="4" t="s">
        <v>25</v>
      </c>
      <c r="B22" s="7" t="n">
        <v>424</v>
      </c>
      <c r="C22" s="2" t="s">
        <v>20</v>
      </c>
    </row>
    <row r="23" customFormat="false" ht="15" hidden="false" customHeight="false" outlineLevel="0" collapsed="false">
      <c r="A23" s="4" t="s">
        <v>26</v>
      </c>
      <c r="B23" s="5" t="n">
        <v>6759000</v>
      </c>
      <c r="C23" s="2" t="s">
        <v>20</v>
      </c>
    </row>
    <row r="24" customFormat="false" ht="15" hidden="false" customHeight="false" outlineLevel="0" collapsed="false">
      <c r="A24" s="4" t="s">
        <v>27</v>
      </c>
      <c r="B24" s="6" t="n">
        <v>0.45</v>
      </c>
      <c r="C24" s="2" t="s">
        <v>20</v>
      </c>
    </row>
    <row r="25" customFormat="false" ht="15" hidden="false" customHeight="false" outlineLevel="0" collapsed="false">
      <c r="A25" s="4" t="s">
        <v>28</v>
      </c>
      <c r="B25" s="5" t="n">
        <v>1641000</v>
      </c>
      <c r="C25" s="2" t="s">
        <v>20</v>
      </c>
    </row>
    <row r="26" customFormat="false" ht="15" hidden="false" customHeight="false" outlineLevel="0" collapsed="false">
      <c r="A26" s="4" t="s">
        <v>29</v>
      </c>
      <c r="B26" s="6" t="n">
        <v>0.15</v>
      </c>
      <c r="C26" s="2" t="s">
        <v>20</v>
      </c>
    </row>
    <row r="27" customFormat="false" ht="15" hidden="false" customHeight="false" outlineLevel="0" collapsed="false">
      <c r="A27" s="4" t="s">
        <v>30</v>
      </c>
      <c r="B27" s="5" t="n">
        <v>840000</v>
      </c>
      <c r="C27" s="2" t="s">
        <v>20</v>
      </c>
    </row>
    <row r="28" customFormat="false" ht="15" hidden="false" customHeight="false" outlineLevel="0" collapsed="false">
      <c r="A28" s="4" t="s">
        <v>31</v>
      </c>
      <c r="B28" s="5" t="n">
        <v>22000</v>
      </c>
      <c r="C28" s="2" t="s">
        <v>20</v>
      </c>
    </row>
    <row r="29" customFormat="false" ht="15" hidden="false" customHeight="false" outlineLevel="0" collapsed="false">
      <c r="A29" s="4" t="s">
        <v>32</v>
      </c>
      <c r="B29" s="7" t="n">
        <v>1140</v>
      </c>
      <c r="C29" s="2" t="s">
        <v>33</v>
      </c>
    </row>
    <row r="30" customFormat="false" ht="15" hidden="false" customHeight="false" outlineLevel="0" collapsed="false">
      <c r="A30" s="4" t="s">
        <v>34</v>
      </c>
      <c r="B30" s="7" t="n">
        <v>424</v>
      </c>
      <c r="C30" s="2" t="s">
        <v>33</v>
      </c>
    </row>
    <row r="31" customFormat="false" ht="15" hidden="false" customHeight="false" outlineLevel="0" collapsed="false">
      <c r="A31" s="4" t="s">
        <v>35</v>
      </c>
      <c r="B31" s="7" t="n">
        <v>248</v>
      </c>
      <c r="C31" s="2" t="s">
        <v>33</v>
      </c>
    </row>
    <row r="32" customFormat="false" ht="15" hidden="false" customHeight="false" outlineLevel="0" collapsed="false">
      <c r="A32" s="4" t="s">
        <v>36</v>
      </c>
      <c r="B32" s="7" t="n">
        <v>176</v>
      </c>
      <c r="C32" s="2" t="s">
        <v>33</v>
      </c>
    </row>
    <row r="33" customFormat="false" ht="15" hidden="false" customHeight="false" outlineLevel="0" collapsed="false">
      <c r="A33" s="4" t="s">
        <v>37</v>
      </c>
      <c r="B33" s="7" t="n">
        <v>68</v>
      </c>
      <c r="C33" s="2" t="s">
        <v>33</v>
      </c>
    </row>
    <row r="34" customFormat="false" ht="15" hidden="false" customHeight="false" outlineLevel="0" collapsed="false">
      <c r="A34" s="4" t="s">
        <v>38</v>
      </c>
      <c r="B34" s="7" t="n">
        <v>716</v>
      </c>
      <c r="C34" s="2" t="s">
        <v>33</v>
      </c>
    </row>
    <row r="35" customFormat="false" ht="15" hidden="false" customHeight="false" outlineLevel="0" collapsed="false">
      <c r="A35" s="4" t="s">
        <v>39</v>
      </c>
      <c r="B35" s="7" t="n">
        <v>480</v>
      </c>
      <c r="C35" s="2" t="s">
        <v>33</v>
      </c>
    </row>
    <row r="36" customFormat="false" ht="15" hidden="false" customHeight="false" outlineLevel="0" collapsed="false">
      <c r="A36" s="4" t="s">
        <v>40</v>
      </c>
      <c r="B36" s="7" t="n">
        <v>236</v>
      </c>
      <c r="C36" s="2" t="s">
        <v>33</v>
      </c>
    </row>
    <row r="37" customFormat="false" ht="15" hidden="false" customHeight="false" outlineLevel="0" collapsed="false">
      <c r="A37" s="4" t="s">
        <v>41</v>
      </c>
      <c r="B37" s="7" t="n">
        <v>41</v>
      </c>
      <c r="C37" s="2" t="s">
        <v>33</v>
      </c>
    </row>
    <row r="38" customFormat="false" ht="15" hidden="false" customHeight="false" outlineLevel="0" collapsed="false">
      <c r="A38" s="4" t="s">
        <v>42</v>
      </c>
      <c r="B38" s="6" t="n">
        <v>0.33</v>
      </c>
      <c r="C38" s="2" t="s">
        <v>43</v>
      </c>
    </row>
    <row r="39" customFormat="false" ht="15" hidden="false" customHeight="false" outlineLevel="0" collapsed="false">
      <c r="A39" s="4" t="s">
        <v>44</v>
      </c>
      <c r="B39" s="6" t="n">
        <v>0.05</v>
      </c>
      <c r="C39" s="2" t="s">
        <v>45</v>
      </c>
    </row>
    <row r="40" customFormat="false" ht="15" hidden="false" customHeight="false" outlineLevel="0" collapsed="false">
      <c r="A40" s="4" t="s">
        <v>46</v>
      </c>
      <c r="B40" s="6" t="n">
        <v>0.03</v>
      </c>
      <c r="C40" s="2" t="s">
        <v>47</v>
      </c>
    </row>
    <row r="41" customFormat="false" ht="15" hidden="false" customHeight="false" outlineLevel="0" collapsed="false">
      <c r="A41" s="4" t="s">
        <v>48</v>
      </c>
      <c r="B41" s="7" t="n">
        <v>164</v>
      </c>
      <c r="C41" s="2" t="s">
        <v>49</v>
      </c>
    </row>
    <row r="42" customFormat="false" ht="15" hidden="false" customHeight="false" outlineLevel="0" collapsed="false">
      <c r="A42" s="4" t="s">
        <v>50</v>
      </c>
      <c r="B42" s="7" t="n">
        <v>112</v>
      </c>
      <c r="C42" s="2" t="s">
        <v>49</v>
      </c>
    </row>
    <row r="43" customFormat="false" ht="15" hidden="false" customHeight="false" outlineLevel="0" collapsed="false">
      <c r="A43" s="4" t="s">
        <v>51</v>
      </c>
      <c r="B43" s="7" t="n">
        <v>52</v>
      </c>
      <c r="C43" s="2" t="s">
        <v>49</v>
      </c>
    </row>
    <row r="44" customFormat="false" ht="15" hidden="false" customHeight="false" outlineLevel="0" collapsed="false">
      <c r="A44" s="4" t="s">
        <v>52</v>
      </c>
      <c r="B44" s="5" t="n">
        <v>205000</v>
      </c>
      <c r="C44" s="2" t="s">
        <v>49</v>
      </c>
    </row>
    <row r="45" customFormat="false" ht="15" hidden="false" customHeight="false" outlineLevel="0" collapsed="false">
      <c r="A45" s="4" t="s">
        <v>53</v>
      </c>
      <c r="B45" s="7" t="n">
        <v>76</v>
      </c>
      <c r="C45" s="2" t="s">
        <v>54</v>
      </c>
    </row>
    <row r="46" customFormat="false" ht="15" hidden="false" customHeight="false" outlineLevel="0" collapsed="false">
      <c r="A46" s="4" t="s">
        <v>55</v>
      </c>
      <c r="B46" s="7" t="n">
        <v>26</v>
      </c>
      <c r="C46" s="2" t="s">
        <v>54</v>
      </c>
    </row>
    <row r="47" customFormat="false" ht="15" hidden="false" customHeight="false" outlineLevel="0" collapsed="false">
      <c r="A47" s="4" t="s">
        <v>56</v>
      </c>
      <c r="B47" s="7" t="n">
        <v>7</v>
      </c>
      <c r="C47" s="2" t="s">
        <v>54</v>
      </c>
    </row>
    <row r="48" customFormat="false" ht="15" hidden="false" customHeight="false" outlineLevel="0" collapsed="false">
      <c r="A48" s="4" t="s">
        <v>57</v>
      </c>
      <c r="B48" s="7" t="n">
        <v>9</v>
      </c>
      <c r="C48" s="2" t="s">
        <v>54</v>
      </c>
    </row>
    <row r="49" customFormat="false" ht="15" hidden="false" customHeight="false" outlineLevel="0" collapsed="false">
      <c r="A49" s="4" t="s">
        <v>58</v>
      </c>
      <c r="B49" s="7" t="n">
        <v>14</v>
      </c>
      <c r="C49" s="2" t="s">
        <v>54</v>
      </c>
    </row>
    <row r="50" customFormat="false" ht="15" hidden="false" customHeight="false" outlineLevel="0" collapsed="false">
      <c r="A50" s="4" t="s">
        <v>59</v>
      </c>
      <c r="B50" s="7" t="n">
        <v>19</v>
      </c>
      <c r="C50" s="2" t="s">
        <v>60</v>
      </c>
    </row>
    <row r="51" customFormat="false" ht="15" hidden="false" customHeight="false" outlineLevel="0" collapsed="false">
      <c r="A51" s="4" t="s">
        <v>61</v>
      </c>
      <c r="B51" s="7" t="n">
        <v>11</v>
      </c>
      <c r="C51" s="2" t="s">
        <v>60</v>
      </c>
    </row>
    <row r="52" customFormat="false" ht="15" hidden="false" customHeight="false" outlineLevel="0" collapsed="false">
      <c r="A52" s="4" t="s">
        <v>62</v>
      </c>
      <c r="B52" s="7" t="n">
        <v>28</v>
      </c>
      <c r="C52" s="2" t="s">
        <v>63</v>
      </c>
    </row>
    <row r="53" customFormat="false" ht="15" hidden="false" customHeight="false" outlineLevel="0" collapsed="false">
      <c r="A53" s="4" t="s">
        <v>64</v>
      </c>
      <c r="B53" s="7" t="n">
        <v>17</v>
      </c>
      <c r="C53" s="2" t="s">
        <v>60</v>
      </c>
    </row>
    <row r="54" customFormat="false" ht="15" hidden="false" customHeight="false" outlineLevel="0" collapsed="false">
      <c r="A54" s="4" t="s">
        <v>65</v>
      </c>
      <c r="B54" s="7" t="n">
        <v>22</v>
      </c>
      <c r="C54" s="2" t="s">
        <v>60</v>
      </c>
    </row>
    <row r="55" customFormat="false" ht="15" hidden="false" customHeight="false" outlineLevel="0" collapsed="false">
      <c r="A55" s="4" t="s">
        <v>66</v>
      </c>
      <c r="B55" s="7" t="n">
        <v>128000</v>
      </c>
      <c r="C55" s="2" t="s">
        <v>67</v>
      </c>
    </row>
    <row r="56" customFormat="false" ht="15" hidden="false" customHeight="false" outlineLevel="0" collapsed="false">
      <c r="A56" s="4" t="s">
        <v>68</v>
      </c>
      <c r="B56" s="7" t="n">
        <v>190</v>
      </c>
      <c r="C56" s="2" t="s">
        <v>67</v>
      </c>
    </row>
    <row r="57" customFormat="false" ht="15" hidden="false" customHeight="false" outlineLevel="0" collapsed="false">
      <c r="A57" s="4" t="s">
        <v>69</v>
      </c>
      <c r="B57" s="7" t="n">
        <v>4100</v>
      </c>
      <c r="C57" s="2" t="s">
        <v>67</v>
      </c>
    </row>
    <row r="58" customFormat="false" ht="15" hidden="false" customHeight="false" outlineLevel="0" collapsed="false">
      <c r="A58" s="4" t="s">
        <v>70</v>
      </c>
      <c r="B58" s="7" t="n">
        <v>12650</v>
      </c>
      <c r="C58" s="2" t="s">
        <v>67</v>
      </c>
    </row>
    <row r="59" customFormat="false" ht="15" hidden="false" customHeight="false" outlineLevel="0" collapsed="false">
      <c r="A59" s="4" t="s">
        <v>71</v>
      </c>
      <c r="B59" s="7" t="n">
        <v>2180</v>
      </c>
      <c r="C59" s="2" t="s">
        <v>67</v>
      </c>
    </row>
    <row r="60" customFormat="false" ht="15" hidden="false" customHeight="false" outlineLevel="0" collapsed="false">
      <c r="A60" s="4" t="s">
        <v>72</v>
      </c>
      <c r="B60" s="7" t="n">
        <v>19400</v>
      </c>
      <c r="C60" s="2" t="s">
        <v>67</v>
      </c>
    </row>
    <row r="61" customFormat="false" ht="15" hidden="false" customHeight="false" outlineLevel="0" collapsed="false">
      <c r="A61" s="4" t="s">
        <v>73</v>
      </c>
      <c r="B61" s="7" t="n">
        <v>8</v>
      </c>
      <c r="C61" s="2" t="s">
        <v>67</v>
      </c>
    </row>
    <row r="62" customFormat="false" ht="15" hidden="false" customHeight="false" outlineLevel="0" collapsed="false">
      <c r="A62" s="4" t="s">
        <v>74</v>
      </c>
      <c r="B62" s="7" t="n">
        <v>102</v>
      </c>
      <c r="C62" s="2" t="s">
        <v>67</v>
      </c>
    </row>
    <row r="63" customFormat="false" ht="15" hidden="false" customHeight="false" outlineLevel="0" collapsed="false">
      <c r="A63" s="4" t="s">
        <v>75</v>
      </c>
      <c r="B63" s="7" t="n">
        <v>46</v>
      </c>
      <c r="C63" s="2" t="s">
        <v>67</v>
      </c>
    </row>
    <row r="64" customFormat="false" ht="15" hidden="false" customHeight="false" outlineLevel="0" collapsed="false">
      <c r="A64" s="4" t="s">
        <v>76</v>
      </c>
      <c r="B64" s="7" t="n">
        <v>4</v>
      </c>
      <c r="C64" s="2" t="s">
        <v>77</v>
      </c>
    </row>
    <row r="65" customFormat="false" ht="15" hidden="false" customHeight="false" outlineLevel="0" collapsed="false">
      <c r="A65" s="4" t="s">
        <v>78</v>
      </c>
      <c r="B65" s="5" t="n">
        <v>200000</v>
      </c>
      <c r="C65" s="2" t="s">
        <v>79</v>
      </c>
    </row>
    <row r="66" customFormat="false" ht="15" hidden="false" customHeight="false" outlineLevel="0" collapsed="false">
      <c r="A66" s="4" t="s">
        <v>80</v>
      </c>
      <c r="B66" s="5" t="n">
        <v>34000</v>
      </c>
      <c r="C66" s="2" t="s">
        <v>81</v>
      </c>
    </row>
    <row r="67" customFormat="false" ht="15" hidden="false" customHeight="false" outlineLevel="0" collapsed="false">
      <c r="A67" s="4" t="s">
        <v>82</v>
      </c>
      <c r="B67" s="5" t="n">
        <v>41000</v>
      </c>
      <c r="C67" s="2" t="s">
        <v>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6"/>
    <col collapsed="false" customWidth="true" hidden="false" outlineLevel="0" max="3" min="3" style="0" width="14"/>
    <col collapsed="false" customWidth="true" hidden="false" outlineLevel="0" max="4" min="4" style="0" width="16"/>
    <col collapsed="false" customWidth="true" hidden="false" outlineLevel="0" max="5" min="5" style="0" width="14"/>
    <col collapsed="false" customWidth="true" hidden="false" outlineLevel="0" max="7" min="6" style="0" width="16"/>
  </cols>
  <sheetData>
    <row r="1" customFormat="false" ht="16.15" hidden="false" customHeight="false" outlineLevel="0" collapsed="false">
      <c r="A1" s="1" t="s">
        <v>83</v>
      </c>
    </row>
    <row r="2" customFormat="false" ht="15" hidden="false" customHeight="false" outlineLevel="0" collapsed="false">
      <c r="A2" s="2" t="s">
        <v>84</v>
      </c>
    </row>
    <row r="4" customFormat="false" ht="23.85" hidden="false" customHeight="false" outlineLevel="0" collapsed="false">
      <c r="A4" s="3" t="s">
        <v>85</v>
      </c>
      <c r="B4" s="3" t="s">
        <v>86</v>
      </c>
      <c r="C4" s="3" t="s">
        <v>87</v>
      </c>
      <c r="D4" s="3" t="s">
        <v>88</v>
      </c>
      <c r="E4" s="3" t="s">
        <v>89</v>
      </c>
      <c r="F4" s="3" t="s">
        <v>90</v>
      </c>
      <c r="G4" s="3" t="s">
        <v>91</v>
      </c>
    </row>
    <row r="5" customFormat="false" ht="15" hidden="false" customHeight="false" outlineLevel="0" collapsed="false">
      <c r="A5" s="10" t="s">
        <v>92</v>
      </c>
      <c r="B5" s="11" t="n">
        <f aca="false">Inputs!$B$6</f>
        <v>3780000</v>
      </c>
      <c r="C5" s="12" t="n">
        <f aca="false">B5/B$9</f>
        <v>0.45</v>
      </c>
      <c r="D5" s="11" t="n">
        <f aca="false">B5*Inputs!$B$7</f>
        <v>1020600</v>
      </c>
      <c r="E5" s="12" t="n">
        <f aca="false">D5/D$9</f>
        <v>0.310424118548799</v>
      </c>
      <c r="F5" s="13" t="n">
        <f aca="false">Inputs!$B$21</f>
        <v>58</v>
      </c>
      <c r="G5" s="11" t="n">
        <f aca="false">D5/F5</f>
        <v>17596.5517241379</v>
      </c>
    </row>
    <row r="6" customFormat="false" ht="15" hidden="false" customHeight="false" outlineLevel="0" collapsed="false">
      <c r="A6" s="10" t="s">
        <v>93</v>
      </c>
      <c r="B6" s="11" t="n">
        <f aca="false">Inputs!$B$8</f>
        <v>2520000</v>
      </c>
      <c r="C6" s="12" t="n">
        <f aca="false">B6/B$9</f>
        <v>0.3</v>
      </c>
      <c r="D6" s="11" t="n">
        <f aca="false">B6*Inputs!$B$9</f>
        <v>1612800</v>
      </c>
      <c r="E6" s="12" t="n">
        <f aca="false">D6/D$9</f>
        <v>0.490546755237609</v>
      </c>
      <c r="F6" s="13" t="n">
        <f aca="false">Inputs!$B$30</f>
        <v>424</v>
      </c>
      <c r="G6" s="11" t="n">
        <f aca="false">D6/F6</f>
        <v>3803.77358490566</v>
      </c>
    </row>
    <row r="7" customFormat="false" ht="15" hidden="false" customHeight="false" outlineLevel="0" collapsed="false">
      <c r="A7" s="10" t="s">
        <v>94</v>
      </c>
      <c r="B7" s="11" t="n">
        <f aca="false">Inputs!$B$10</f>
        <v>1764000</v>
      </c>
      <c r="C7" s="12" t="n">
        <f aca="false">B7/B$9</f>
        <v>0.21</v>
      </c>
      <c r="D7" s="11" t="n">
        <f aca="false">B7*Inputs!$B$11</f>
        <v>335160</v>
      </c>
      <c r="E7" s="12" t="n">
        <f aca="false">D7/D$9</f>
        <v>0.101941747572816</v>
      </c>
    </row>
    <row r="8" customFormat="false" ht="15" hidden="false" customHeight="false" outlineLevel="0" collapsed="false">
      <c r="A8" s="10" t="s">
        <v>95</v>
      </c>
      <c r="B8" s="11" t="n">
        <f aca="false">Inputs!$B$12</f>
        <v>336000</v>
      </c>
      <c r="C8" s="12" t="n">
        <f aca="false">B8/B$9</f>
        <v>0.04</v>
      </c>
      <c r="D8" s="11" t="n">
        <f aca="false">B8*Inputs!$B$13</f>
        <v>319200</v>
      </c>
      <c r="E8" s="12" t="n">
        <f aca="false">D8/D$9</f>
        <v>0.0970873786407767</v>
      </c>
    </row>
    <row r="9" customFormat="false" ht="15" hidden="false" customHeight="false" outlineLevel="0" collapsed="false">
      <c r="A9" s="14" t="s">
        <v>96</v>
      </c>
      <c r="B9" s="11" t="n">
        <f aca="false">SUM(B5:B8)</f>
        <v>8400000</v>
      </c>
      <c r="C9" s="12" t="n">
        <f aca="false">SUM(C5:C8)</f>
        <v>1</v>
      </c>
      <c r="D9" s="11" t="n">
        <f aca="false">SUM(D5:D8)</f>
        <v>3287760</v>
      </c>
      <c r="E9" s="12" t="n">
        <f aca="false">SUM(E5:E8)</f>
        <v>1</v>
      </c>
    </row>
    <row r="10" customFormat="false" ht="15" hidden="false" customHeight="false" outlineLevel="0" collapsed="false">
      <c r="A10" s="10" t="s">
        <v>97</v>
      </c>
      <c r="B10" s="12" t="n">
        <f aca="false">D9/B9</f>
        <v>0.3914</v>
      </c>
    </row>
    <row r="12" customFormat="false" ht="15" hidden="false" customHeight="false" outlineLevel="0" collapsed="false">
      <c r="A12" s="14" t="s">
        <v>98</v>
      </c>
    </row>
    <row r="13" customFormat="false" ht="15" hidden="false" customHeight="false" outlineLevel="0" collapsed="false">
      <c r="A13" s="10" t="s">
        <v>99</v>
      </c>
      <c r="B13" s="11" t="n">
        <f aca="false">Inputs!$B$6/Inputs!$B$21</f>
        <v>65172.4137931035</v>
      </c>
    </row>
    <row r="14" customFormat="false" ht="15" hidden="false" customHeight="false" outlineLevel="0" collapsed="false">
      <c r="A14" s="10" t="s">
        <v>100</v>
      </c>
      <c r="B14" s="11" t="n">
        <f aca="false">B13*Inputs!$B$7</f>
        <v>17596.5517241379</v>
      </c>
    </row>
    <row r="15" customFormat="false" ht="15" hidden="false" customHeight="false" outlineLevel="0" collapsed="false">
      <c r="A15" s="10" t="s">
        <v>101</v>
      </c>
      <c r="B15" s="11" t="n">
        <f aca="false">Inputs!$B$8/Inputs!$B$30</f>
        <v>5943.39622641509</v>
      </c>
    </row>
    <row r="16" customFormat="false" ht="15" hidden="false" customHeight="false" outlineLevel="0" collapsed="false">
      <c r="A16" s="10" t="s">
        <v>102</v>
      </c>
      <c r="B16" s="11" t="n">
        <f aca="false">B15*Inputs!$B$9</f>
        <v>3803.77358490566</v>
      </c>
    </row>
    <row r="17" customFormat="false" ht="15" hidden="false" customHeight="false" outlineLevel="0" collapsed="false">
      <c r="A17" s="10" t="s">
        <v>103</v>
      </c>
      <c r="B17" s="11" t="n">
        <f aca="false">B15*5</f>
        <v>29716.9811320755</v>
      </c>
    </row>
    <row r="18" customFormat="false" ht="15" hidden="false" customHeight="false" outlineLevel="0" collapsed="false">
      <c r="A18" s="10" t="s">
        <v>104</v>
      </c>
      <c r="B18" s="11" t="n">
        <f aca="false">B16*5</f>
        <v>19018.8679245283</v>
      </c>
    </row>
    <row r="19" customFormat="false" ht="15" hidden="false" customHeight="false" outlineLevel="0" collapsed="false">
      <c r="A19" s="10" t="s">
        <v>105</v>
      </c>
      <c r="B19" s="12" t="n">
        <f aca="false">C6</f>
        <v>0.3</v>
      </c>
    </row>
    <row r="20" customFormat="false" ht="15" hidden="false" customHeight="false" outlineLevel="0" collapsed="false">
      <c r="A20" s="10" t="s">
        <v>106</v>
      </c>
      <c r="B20" s="12" t="n">
        <f aca="false">E6</f>
        <v>0.490546755237609</v>
      </c>
    </row>
    <row r="21" customFormat="false" ht="15" hidden="false" customHeight="false" outlineLevel="0" collapsed="false">
      <c r="A21" s="10" t="s">
        <v>107</v>
      </c>
      <c r="B21" s="12" t="n">
        <f aca="false">C5</f>
        <v>0.45</v>
      </c>
    </row>
    <row r="22" customFormat="false" ht="15" hidden="false" customHeight="false" outlineLevel="0" collapsed="false">
      <c r="A22" s="10" t="s">
        <v>108</v>
      </c>
      <c r="B22" s="12" t="n">
        <f aca="false">E5</f>
        <v>0.310424118548799</v>
      </c>
    </row>
    <row r="23" customFormat="false" ht="15" hidden="false" customHeight="false" outlineLevel="0" collapsed="false">
      <c r="A23" s="10" t="s">
        <v>109</v>
      </c>
      <c r="B23" s="12" t="n">
        <f aca="false">Inputs!$B$8/Inputs!$B$5</f>
        <v>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4"/>
    <col collapsed="false" customWidth="true" hidden="false" outlineLevel="0" max="2" min="2" style="0" width="16"/>
    <col collapsed="false" customWidth="true" hidden="false" outlineLevel="0" max="3" min="3" style="0" width="50"/>
  </cols>
  <sheetData>
    <row r="1" customFormat="false" ht="16.15" hidden="false" customHeight="false" outlineLevel="0" collapsed="false">
      <c r="A1" s="1" t="s">
        <v>110</v>
      </c>
    </row>
    <row r="2" customFormat="false" ht="15" hidden="false" customHeight="false" outlineLevel="0" collapsed="false">
      <c r="A2" s="2" t="s">
        <v>111</v>
      </c>
    </row>
    <row r="4" customFormat="false" ht="15" hidden="false" customHeight="false" outlineLevel="0" collapsed="false">
      <c r="A4" s="3" t="s">
        <v>112</v>
      </c>
      <c r="B4" s="3" t="s">
        <v>3</v>
      </c>
      <c r="C4" s="3" t="s">
        <v>113</v>
      </c>
    </row>
    <row r="5" customFormat="false" ht="15" hidden="false" customHeight="false" outlineLevel="0" collapsed="false">
      <c r="A5" s="10" t="s">
        <v>114</v>
      </c>
      <c r="B5" s="13" t="n">
        <f aca="false">Inputs!$B$17*Inputs!$B$18</f>
        <v>220</v>
      </c>
      <c r="C5" s="2" t="s">
        <v>115</v>
      </c>
    </row>
    <row r="6" customFormat="false" ht="15" hidden="false" customHeight="false" outlineLevel="0" collapsed="false">
      <c r="A6" s="10" t="s">
        <v>116</v>
      </c>
      <c r="B6" s="15" t="n">
        <f aca="false">Inputs!$B$21*Inputs!$B$19</f>
        <v>150.8</v>
      </c>
      <c r="C6" s="2" t="s">
        <v>117</v>
      </c>
    </row>
    <row r="7" customFormat="false" ht="15" hidden="false" customHeight="false" outlineLevel="0" collapsed="false">
      <c r="A7" s="10" t="s">
        <v>118</v>
      </c>
      <c r="B7" s="15" t="n">
        <f aca="false">Inputs!$B$22*Inputs!$B$20</f>
        <v>148.4</v>
      </c>
      <c r="C7" s="2" t="s">
        <v>119</v>
      </c>
    </row>
    <row r="8" customFormat="false" ht="15" hidden="false" customHeight="false" outlineLevel="0" collapsed="false">
      <c r="A8" s="10" t="s">
        <v>120</v>
      </c>
      <c r="B8" s="15" t="n">
        <f aca="false">B6+B7</f>
        <v>299.2</v>
      </c>
      <c r="C8" s="2" t="s">
        <v>121</v>
      </c>
    </row>
    <row r="9" customFormat="false" ht="15" hidden="false" customHeight="false" outlineLevel="0" collapsed="false">
      <c r="A9" s="10" t="s">
        <v>122</v>
      </c>
      <c r="B9" s="15" t="n">
        <f aca="false">B8-B5</f>
        <v>79.2</v>
      </c>
      <c r="C9" s="2" t="s">
        <v>123</v>
      </c>
    </row>
    <row r="10" customFormat="false" ht="15" hidden="false" customHeight="false" outlineLevel="0" collapsed="false">
      <c r="A10" s="10" t="s">
        <v>124</v>
      </c>
      <c r="B10" s="12" t="n">
        <f aca="false">B9/B5</f>
        <v>0.36</v>
      </c>
      <c r="C10" s="2"/>
    </row>
    <row r="11" customFormat="false" ht="15" hidden="false" customHeight="false" outlineLevel="0" collapsed="false">
      <c r="A11" s="10" t="s">
        <v>125</v>
      </c>
      <c r="B11" s="15" t="n">
        <f aca="false">B9/Inputs!$B$19</f>
        <v>30.4615384615385</v>
      </c>
      <c r="C11" s="2" t="s">
        <v>126</v>
      </c>
    </row>
    <row r="12" customFormat="false" ht="15" hidden="false" customHeight="false" outlineLevel="0" collapsed="false">
      <c r="A12" s="10" t="s">
        <v>127</v>
      </c>
      <c r="B12" s="11" t="n">
        <f aca="false">Inputs!$B$25/B11</f>
        <v>53871.2121212121</v>
      </c>
      <c r="C12" s="2" t="s">
        <v>128</v>
      </c>
    </row>
    <row r="13" customFormat="false" ht="15" hidden="false" customHeight="false" outlineLevel="0" collapsed="false">
      <c r="A13" s="10" t="s">
        <v>129</v>
      </c>
      <c r="B13" s="15" t="n">
        <f aca="false">Inputs!$B$21-B11</f>
        <v>27.5384615384615</v>
      </c>
      <c r="C13" s="2" t="s">
        <v>130</v>
      </c>
    </row>
    <row r="14" customFormat="false" ht="15" hidden="false" customHeight="false" outlineLevel="0" collapsed="false">
      <c r="A14" s="10" t="s">
        <v>131</v>
      </c>
      <c r="B14" s="15" t="n">
        <f aca="false">B13*Inputs!$B$19</f>
        <v>71.6</v>
      </c>
      <c r="C14" s="2"/>
    </row>
    <row r="15" customFormat="false" ht="15" hidden="false" customHeight="false" outlineLevel="0" collapsed="false">
      <c r="A15" s="10" t="s">
        <v>132</v>
      </c>
      <c r="B15" s="15" t="n">
        <f aca="false">B14+B7</f>
        <v>220</v>
      </c>
      <c r="C15" s="2" t="s">
        <v>133</v>
      </c>
    </row>
    <row r="16" customFormat="false" ht="15" hidden="false" customHeight="false" outlineLevel="0" collapsed="false">
      <c r="A16" s="14" t="s">
        <v>134</v>
      </c>
      <c r="B16" s="16" t="n">
        <f aca="false">B15/B5</f>
        <v>1</v>
      </c>
      <c r="C16" s="2" t="s">
        <v>135</v>
      </c>
    </row>
    <row r="17" customFormat="false" ht="15" hidden="false" customHeight="false" outlineLevel="0" collapsed="false">
      <c r="A17" s="10" t="s">
        <v>136</v>
      </c>
      <c r="B17" s="11" t="n">
        <f aca="false">Inputs!$B$6-Inputs!$B$25</f>
        <v>2139000</v>
      </c>
      <c r="C17" s="2" t="s">
        <v>137</v>
      </c>
    </row>
    <row r="18" customFormat="false" ht="15" hidden="false" customHeight="false" outlineLevel="0" collapsed="false">
      <c r="A18" s="10" t="s">
        <v>138</v>
      </c>
      <c r="B18" s="11" t="n">
        <f aca="false">Inputs!$B$25*Inputs!$B$26</f>
        <v>246150</v>
      </c>
      <c r="C18" s="2" t="s">
        <v>139</v>
      </c>
    </row>
    <row r="19" customFormat="false" ht="15" hidden="false" customHeight="false" outlineLevel="0" collapsed="false">
      <c r="A19" s="10" t="s">
        <v>140</v>
      </c>
      <c r="B19" s="11" t="n">
        <f aca="false">Inputs!$B$6*Inputs!$B$7-B18</f>
        <v>774450</v>
      </c>
      <c r="C19" s="2" t="s">
        <v>141</v>
      </c>
    </row>
    <row r="20" customFormat="false" ht="15" hidden="false" customHeight="false" outlineLevel="0" collapsed="false">
      <c r="A20" s="10" t="s">
        <v>142</v>
      </c>
      <c r="B20" s="12" t="n">
        <f aca="false">B19/B17</f>
        <v>0.362061711079944</v>
      </c>
      <c r="C20" s="2" t="s">
        <v>143</v>
      </c>
    </row>
    <row r="21" customFormat="false" ht="15" hidden="false" customHeight="false" outlineLevel="0" collapsed="false">
      <c r="A21" s="10" t="s">
        <v>144</v>
      </c>
      <c r="B21" s="11" t="n">
        <f aca="false">B19/B13</f>
        <v>28122.4860335196</v>
      </c>
      <c r="C21" s="2"/>
    </row>
    <row r="22" customFormat="false" ht="15" hidden="false" customHeight="false" outlineLevel="0" collapsed="false">
      <c r="A22" s="10" t="s">
        <v>145</v>
      </c>
      <c r="B22" s="11" t="n">
        <f aca="false">B18/B11</f>
        <v>8080.68181818182</v>
      </c>
      <c r="C22" s="2"/>
    </row>
    <row r="23" customFormat="false" ht="15" hidden="false" customHeight="false" outlineLevel="0" collapsed="false">
      <c r="A23" s="10" t="s">
        <v>146</v>
      </c>
      <c r="B23" s="11" t="n">
        <f aca="false">B21-B22</f>
        <v>20041.8042153377</v>
      </c>
      <c r="C23" s="2" t="s">
        <v>147</v>
      </c>
    </row>
    <row r="24" customFormat="false" ht="15" hidden="false" customHeight="false" outlineLevel="0" collapsed="false">
      <c r="A24" s="10" t="s">
        <v>148</v>
      </c>
      <c r="B24" s="11" t="n">
        <f aca="false">B23*B11</f>
        <v>610504.189944134</v>
      </c>
      <c r="C24" s="2" t="s">
        <v>149</v>
      </c>
    </row>
    <row r="25" customFormat="false" ht="15" hidden="false" customHeight="false" outlineLevel="0" collapsed="false">
      <c r="A25" s="10" t="s">
        <v>150</v>
      </c>
      <c r="B25" s="11" t="n">
        <f aca="false">B21/Inputs!$B$19</f>
        <v>10816.3407821229</v>
      </c>
      <c r="C25" s="2" t="s">
        <v>151</v>
      </c>
    </row>
    <row r="26" customFormat="false" ht="15" hidden="false" customHeight="false" outlineLevel="0" collapsed="false">
      <c r="A26" s="10" t="s">
        <v>152</v>
      </c>
      <c r="B26" s="11" t="n">
        <f aca="false">'Unit economics'!$B$16/Inputs!$B$20</f>
        <v>10867.9245283019</v>
      </c>
      <c r="C26" s="2" t="s">
        <v>153</v>
      </c>
    </row>
    <row r="27" customFormat="false" ht="15" hidden="false" customHeight="false" outlineLevel="0" collapsed="false">
      <c r="A27" s="10" t="s">
        <v>154</v>
      </c>
      <c r="B27" s="11" t="n">
        <f aca="false">Inputs!$B$5-Inputs!$B$5/(1+Inputs!$B$15)</f>
        <v>1031578.94736842</v>
      </c>
      <c r="C27" s="2" t="s">
        <v>16</v>
      </c>
    </row>
    <row r="28" customFormat="false" ht="15" hidden="false" customHeight="false" outlineLevel="0" collapsed="false">
      <c r="A28" s="10" t="s">
        <v>155</v>
      </c>
      <c r="B28" s="11" t="n">
        <f aca="false">Inputs!$B$27-Inputs!$B$28</f>
        <v>818000</v>
      </c>
      <c r="C28" s="2" t="s">
        <v>20</v>
      </c>
    </row>
    <row r="29" customFormat="false" ht="15" hidden="false" customHeight="false" outlineLevel="0" collapsed="false">
      <c r="A29" s="10" t="s">
        <v>156</v>
      </c>
      <c r="B29" s="12" t="n">
        <f aca="false">B28/B27</f>
        <v>0.792959183673469</v>
      </c>
      <c r="C29" s="2" t="s">
        <v>157</v>
      </c>
    </row>
    <row r="30" customFormat="false" ht="15" hidden="false" customHeight="false" outlineLevel="0" collapsed="false">
      <c r="A30" s="10" t="s">
        <v>158</v>
      </c>
      <c r="B30" s="13" t="n">
        <f aca="false">Inputs!$B$18</f>
        <v>44</v>
      </c>
      <c r="C30" s="2" t="s">
        <v>159</v>
      </c>
    </row>
    <row r="31" customFormat="false" ht="15" hidden="false" customHeight="false" outlineLevel="0" collapsed="false">
      <c r="A31" s="10" t="s">
        <v>160</v>
      </c>
      <c r="B31" s="15" t="n">
        <f aca="false">B30/Inputs!$B$19</f>
        <v>16.9230769230769</v>
      </c>
      <c r="C31" s="2"/>
    </row>
    <row r="32" customFormat="false" ht="15" hidden="false" customHeight="false" outlineLevel="0" collapsed="false">
      <c r="A32" s="10" t="s">
        <v>161</v>
      </c>
      <c r="B32" s="11" t="n">
        <f aca="false">B31*B23</f>
        <v>339168.994413408</v>
      </c>
      <c r="C32" s="2" t="s">
        <v>162</v>
      </c>
    </row>
    <row r="33" customFormat="false" ht="15" hidden="false" customHeight="false" outlineLevel="0" collapsed="false">
      <c r="A33" s="10" t="s">
        <v>163</v>
      </c>
      <c r="B33" s="13" t="n">
        <f aca="false">B30/Inputs!$B$20</f>
        <v>125.714285714286</v>
      </c>
      <c r="C33" s="2"/>
    </row>
    <row r="34" customFormat="false" ht="15" hidden="false" customHeight="false" outlineLevel="0" collapsed="false">
      <c r="A34" s="10" t="s">
        <v>164</v>
      </c>
      <c r="B34" s="11" t="n">
        <f aca="false">B33*'Unit economics'!$B$16</f>
        <v>478188.679245283</v>
      </c>
      <c r="C34" s="2" t="s">
        <v>165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4" min="2" style="0" width="11"/>
    <col collapsed="false" customWidth="true" hidden="false" outlineLevel="0" max="5" min="5" style="0" width="9"/>
    <col collapsed="false" customWidth="true" hidden="false" outlineLevel="0" max="6" min="6" style="0" width="14"/>
    <col collapsed="false" customWidth="true" hidden="false" outlineLevel="0" max="8" min="7" style="0" width="13"/>
    <col collapsed="false" customWidth="true" hidden="false" outlineLevel="0" max="11" min="9" style="0" width="14"/>
    <col collapsed="false" customWidth="true" hidden="false" outlineLevel="0" max="12" min="12" style="0" width="13"/>
  </cols>
  <sheetData>
    <row r="1" customFormat="false" ht="16.15" hidden="false" customHeight="false" outlineLevel="0" collapsed="false">
      <c r="A1" s="1" t="s">
        <v>166</v>
      </c>
    </row>
    <row r="2" customFormat="false" ht="15" hidden="false" customHeight="false" outlineLevel="0" collapsed="false">
      <c r="A2" s="2" t="s">
        <v>167</v>
      </c>
    </row>
    <row r="4" customFormat="false" ht="23.85" hidden="false" customHeight="false" outlineLevel="0" collapsed="false">
      <c r="A4" s="3" t="s">
        <v>4</v>
      </c>
      <c r="B4" s="3" t="s">
        <v>168</v>
      </c>
      <c r="C4" s="3" t="s">
        <v>169</v>
      </c>
      <c r="D4" s="3" t="s">
        <v>170</v>
      </c>
      <c r="E4" s="3" t="s">
        <v>171</v>
      </c>
      <c r="F4" s="3" t="s">
        <v>172</v>
      </c>
      <c r="G4" s="3" t="s">
        <v>173</v>
      </c>
      <c r="H4" s="3" t="s">
        <v>174</v>
      </c>
      <c r="I4" s="3" t="s">
        <v>175</v>
      </c>
      <c r="J4" s="3" t="s">
        <v>176</v>
      </c>
      <c r="K4" s="3" t="s">
        <v>177</v>
      </c>
      <c r="L4" s="3" t="s">
        <v>178</v>
      </c>
    </row>
    <row r="5" customFormat="false" ht="15" hidden="false" customHeight="false" outlineLevel="0" collapsed="false">
      <c r="A5" s="10" t="s">
        <v>179</v>
      </c>
      <c r="B5" s="17" t="n">
        <v>210</v>
      </c>
      <c r="C5" s="17" t="n">
        <v>31</v>
      </c>
      <c r="D5" s="17" t="n">
        <v>8</v>
      </c>
      <c r="E5" s="17" t="n">
        <v>2</v>
      </c>
      <c r="F5" s="18" t="n">
        <v>46000</v>
      </c>
      <c r="G5" s="19" t="n">
        <f aca="false">Inputs!$B$66</f>
        <v>34000</v>
      </c>
      <c r="H5" s="12" t="n">
        <f aca="false">E5/B5</f>
        <v>0.00952380952380953</v>
      </c>
      <c r="I5" s="11" t="n">
        <f aca="false">F5/E5</f>
        <v>23000</v>
      </c>
      <c r="J5" s="11" t="n">
        <f aca="false">F5*Inputs!$B$7</f>
        <v>12420</v>
      </c>
      <c r="K5" s="11" t="n">
        <f aca="false">J5-G5</f>
        <v>-21580</v>
      </c>
      <c r="L5" s="12" t="n">
        <f aca="false">F5/F$11</f>
        <v>0.0223953261927945</v>
      </c>
    </row>
    <row r="6" customFormat="false" ht="15" hidden="false" customHeight="false" outlineLevel="0" collapsed="false">
      <c r="A6" s="10" t="s">
        <v>180</v>
      </c>
      <c r="B6" s="17" t="n">
        <v>96</v>
      </c>
      <c r="C6" s="17" t="n">
        <v>22</v>
      </c>
      <c r="D6" s="17" t="n">
        <v>6</v>
      </c>
      <c r="E6" s="17" t="n">
        <v>2</v>
      </c>
      <c r="F6" s="18" t="n">
        <v>88000</v>
      </c>
      <c r="G6" s="19" t="n">
        <f aca="false">Inputs!$B$67</f>
        <v>41000</v>
      </c>
      <c r="H6" s="12" t="n">
        <f aca="false">E6/B6</f>
        <v>0.0208333333333333</v>
      </c>
      <c r="I6" s="11" t="n">
        <f aca="false">F6/E6</f>
        <v>44000</v>
      </c>
      <c r="J6" s="11" t="n">
        <f aca="false">F6*Inputs!$B$7</f>
        <v>23760</v>
      </c>
      <c r="K6" s="11" t="n">
        <f aca="false">J6-G6</f>
        <v>-17240</v>
      </c>
      <c r="L6" s="12" t="n">
        <f aca="false">F6/F$11</f>
        <v>0.0428432327166504</v>
      </c>
    </row>
    <row r="7" customFormat="false" ht="15" hidden="false" customHeight="false" outlineLevel="0" collapsed="false">
      <c r="A7" s="10" t="s">
        <v>181</v>
      </c>
      <c r="B7" s="17" t="n">
        <v>64</v>
      </c>
      <c r="C7" s="17" t="n">
        <v>19</v>
      </c>
      <c r="D7" s="17" t="n">
        <v>9</v>
      </c>
      <c r="E7" s="17" t="n">
        <v>4</v>
      </c>
      <c r="F7" s="18" t="n">
        <v>173000</v>
      </c>
      <c r="G7" s="18" t="n">
        <v>0</v>
      </c>
      <c r="H7" s="12" t="n">
        <f aca="false">E7/B7</f>
        <v>0.0625</v>
      </c>
      <c r="I7" s="11" t="n">
        <f aca="false">F7/E7</f>
        <v>43250</v>
      </c>
      <c r="J7" s="11" t="n">
        <f aca="false">F7*Inputs!$B$7</f>
        <v>46710</v>
      </c>
      <c r="K7" s="11" t="n">
        <f aca="false">J7-G7</f>
        <v>46710</v>
      </c>
      <c r="L7" s="12" t="n">
        <f aca="false">F7/F$11</f>
        <v>0.0842259006815969</v>
      </c>
    </row>
    <row r="8" customFormat="false" ht="15" hidden="false" customHeight="false" outlineLevel="0" collapsed="false">
      <c r="A8" s="10" t="s">
        <v>182</v>
      </c>
      <c r="B8" s="17" t="n">
        <v>22</v>
      </c>
      <c r="C8" s="17" t="n">
        <v>20</v>
      </c>
      <c r="D8" s="17" t="n">
        <v>17</v>
      </c>
      <c r="E8" s="17" t="n">
        <v>11</v>
      </c>
      <c r="F8" s="18" t="n">
        <v>721000</v>
      </c>
      <c r="G8" s="18" t="n">
        <v>0</v>
      </c>
      <c r="H8" s="12" t="n">
        <f aca="false">E8/B8</f>
        <v>0.5</v>
      </c>
      <c r="I8" s="11" t="n">
        <f aca="false">F8/E8</f>
        <v>65545.4545454545</v>
      </c>
      <c r="J8" s="11" t="n">
        <f aca="false">F8*Inputs!$B$7</f>
        <v>194670</v>
      </c>
      <c r="K8" s="11" t="n">
        <f aca="false">J8-G8</f>
        <v>194670</v>
      </c>
      <c r="L8" s="12" t="n">
        <f aca="false">F8/F$11</f>
        <v>0.351022395326193</v>
      </c>
    </row>
    <row r="9" customFormat="false" ht="15" hidden="false" customHeight="false" outlineLevel="0" collapsed="false">
      <c r="A9" s="10" t="s">
        <v>183</v>
      </c>
      <c r="B9" s="17" t="n">
        <v>14</v>
      </c>
      <c r="C9" s="17" t="n">
        <v>13</v>
      </c>
      <c r="D9" s="17" t="n">
        <v>11</v>
      </c>
      <c r="E9" s="17" t="n">
        <v>7</v>
      </c>
      <c r="F9" s="18" t="n">
        <v>902000</v>
      </c>
      <c r="G9" s="18" t="n">
        <v>0</v>
      </c>
      <c r="H9" s="12" t="n">
        <f aca="false">E9/B9</f>
        <v>0.5</v>
      </c>
      <c r="I9" s="11" t="n">
        <f aca="false">F9/E9</f>
        <v>128857.142857143</v>
      </c>
      <c r="J9" s="11" t="n">
        <f aca="false">F9*Inputs!$B$7</f>
        <v>243540</v>
      </c>
      <c r="K9" s="11" t="n">
        <f aca="false">J9-G9</f>
        <v>243540</v>
      </c>
      <c r="L9" s="12" t="n">
        <f aca="false">F9/F$11</f>
        <v>0.439143135345667</v>
      </c>
    </row>
    <row r="10" customFormat="false" ht="15" hidden="false" customHeight="false" outlineLevel="0" collapsed="false">
      <c r="A10" s="10" t="s">
        <v>184</v>
      </c>
      <c r="B10" s="17" t="n">
        <v>41</v>
      </c>
      <c r="C10" s="17" t="n">
        <v>12</v>
      </c>
      <c r="D10" s="17" t="n">
        <v>5</v>
      </c>
      <c r="E10" s="17" t="n">
        <v>2</v>
      </c>
      <c r="F10" s="18" t="n">
        <v>124000</v>
      </c>
      <c r="G10" s="18" t="n">
        <v>0</v>
      </c>
      <c r="H10" s="12" t="n">
        <f aca="false">E10/B10</f>
        <v>0.0487804878048781</v>
      </c>
      <c r="I10" s="11" t="n">
        <f aca="false">F10/E10</f>
        <v>62000</v>
      </c>
      <c r="J10" s="11" t="n">
        <f aca="false">F10*Inputs!$B$7</f>
        <v>33480</v>
      </c>
      <c r="K10" s="11" t="n">
        <f aca="false">J10-G10</f>
        <v>33480</v>
      </c>
      <c r="L10" s="12" t="n">
        <f aca="false">F10/F$11</f>
        <v>0.0603700097370983</v>
      </c>
    </row>
    <row r="11" customFormat="false" ht="15" hidden="false" customHeight="false" outlineLevel="0" collapsed="false">
      <c r="A11" s="14" t="s">
        <v>96</v>
      </c>
      <c r="B11" s="20" t="n">
        <f aca="false">SUM(B5:B10)</f>
        <v>447</v>
      </c>
      <c r="C11" s="20" t="n">
        <f aca="false">SUM(C5:C10)</f>
        <v>117</v>
      </c>
      <c r="D11" s="20" t="n">
        <f aca="false">SUM(D5:D10)</f>
        <v>56</v>
      </c>
      <c r="E11" s="20" t="n">
        <f aca="false">SUM(E5:E10)</f>
        <v>28</v>
      </c>
      <c r="F11" s="21" t="n">
        <f aca="false">SUM(F5:F10)</f>
        <v>2054000</v>
      </c>
      <c r="G11" s="21" t="n">
        <f aca="false">SUM(G5:G10)</f>
        <v>75000</v>
      </c>
      <c r="H11" s="12" t="n">
        <f aca="false">E11/B11</f>
        <v>0.0626398210290828</v>
      </c>
      <c r="I11" s="11" t="n">
        <f aca="false">F11/E11</f>
        <v>73357.1428571429</v>
      </c>
      <c r="J11" s="21" t="n">
        <f aca="false">SUM(J5:J10)</f>
        <v>554580</v>
      </c>
      <c r="K11" s="21" t="n">
        <f aca="false">SUM(K5:K10)</f>
        <v>479580</v>
      </c>
      <c r="L11" s="12" t="n">
        <f aca="false">SUM(L5:L10)</f>
        <v>1</v>
      </c>
    </row>
    <row r="13" customFormat="false" ht="15" hidden="false" customHeight="false" outlineLevel="0" collapsed="false">
      <c r="A13" s="10" t="s">
        <v>185</v>
      </c>
      <c r="B13" s="13" t="n">
        <f aca="false">E8+E9</f>
        <v>18</v>
      </c>
    </row>
    <row r="14" customFormat="false" ht="15" hidden="false" customHeight="false" outlineLevel="0" collapsed="false">
      <c r="A14" s="10" t="s">
        <v>186</v>
      </c>
      <c r="B14" s="11" t="n">
        <f aca="false">F8+F9</f>
        <v>1623000</v>
      </c>
    </row>
    <row r="15" customFormat="false" ht="15" hidden="false" customHeight="false" outlineLevel="0" collapsed="false">
      <c r="A15" s="10" t="s">
        <v>187</v>
      </c>
      <c r="B15" s="12" t="n">
        <f aca="false">B14/F11</f>
        <v>0.79016553067186</v>
      </c>
    </row>
    <row r="16" customFormat="false" ht="15" hidden="false" customHeight="false" outlineLevel="0" collapsed="false">
      <c r="A16" s="10" t="s">
        <v>188</v>
      </c>
      <c r="B16" s="12" t="n">
        <f aca="false">B13/E11</f>
        <v>0.642857142857143</v>
      </c>
    </row>
    <row r="17" customFormat="false" ht="15" hidden="false" customHeight="false" outlineLevel="0" collapsed="false">
      <c r="A17" s="10" t="s">
        <v>189</v>
      </c>
      <c r="B17" s="11" t="n">
        <f aca="false">F5+F6</f>
        <v>134000</v>
      </c>
    </row>
    <row r="18" customFormat="false" ht="15" hidden="false" customHeight="false" outlineLevel="0" collapsed="false">
      <c r="A18" s="10" t="s">
        <v>190</v>
      </c>
      <c r="B18" s="11" t="n">
        <f aca="false">K5+K6</f>
        <v>-38820</v>
      </c>
    </row>
    <row r="19" customFormat="false" ht="15" hidden="false" customHeight="false" outlineLevel="0" collapsed="false">
      <c r="A19" s="10" t="s">
        <v>191</v>
      </c>
      <c r="B19" s="11" t="n">
        <f aca="false">Inputs!$B$6-F11</f>
        <v>1726000</v>
      </c>
    </row>
    <row r="20" customFormat="false" ht="15" hidden="false" customHeight="false" outlineLevel="0" collapsed="false">
      <c r="A20" s="10" t="s">
        <v>192</v>
      </c>
      <c r="B20" s="13" t="n">
        <f aca="false">Inputs!$B$21-E11</f>
        <v>30</v>
      </c>
    </row>
    <row r="21" customFormat="false" ht="15" hidden="false" customHeight="false" outlineLevel="0" collapsed="false">
      <c r="A21" s="10" t="s">
        <v>193</v>
      </c>
      <c r="B21" s="11" t="n">
        <f aca="false">Inputs!$B$5-F11</f>
        <v>6346000</v>
      </c>
    </row>
    <row r="22" customFormat="false" ht="15" hidden="false" customHeight="false" outlineLevel="0" collapsed="false">
      <c r="A22" s="10" t="s">
        <v>194</v>
      </c>
      <c r="B22" s="12" t="n">
        <f aca="false">B21/Inputs!$B$5</f>
        <v>0.755476190476191</v>
      </c>
    </row>
    <row r="23" customFormat="false" ht="15" hidden="false" customHeight="false" outlineLevel="0" collapsed="false">
      <c r="A23" s="10" t="s">
        <v>195</v>
      </c>
      <c r="B23" s="12" t="n">
        <f aca="false">(E8+E9)/(D8+D9)</f>
        <v>0.642857142857143</v>
      </c>
    </row>
    <row r="24" customFormat="false" ht="15" hidden="false" customHeight="false" outlineLevel="0" collapsed="false">
      <c r="A24" s="10" t="s">
        <v>196</v>
      </c>
      <c r="B24" s="12" t="n">
        <f aca="false">(E5+E6)/(D5+D6)</f>
        <v>0.285714285714286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6"/>
    <col collapsed="false" customWidth="true" hidden="false" outlineLevel="0" max="2" min="2" style="0" width="16"/>
    <col collapsed="false" customWidth="true" hidden="false" outlineLevel="0" max="3" min="3" style="0" width="50"/>
  </cols>
  <sheetData>
    <row r="1" customFormat="false" ht="16.15" hidden="false" customHeight="false" outlineLevel="0" collapsed="false">
      <c r="A1" s="1" t="s">
        <v>197</v>
      </c>
    </row>
    <row r="2" customFormat="false" ht="15" hidden="false" customHeight="false" outlineLevel="0" collapsed="false">
      <c r="A2" s="2" t="s">
        <v>198</v>
      </c>
    </row>
    <row r="4" customFormat="false" ht="15" hidden="false" customHeight="false" outlineLevel="0" collapsed="false">
      <c r="A4" s="3" t="s">
        <v>112</v>
      </c>
      <c r="B4" s="3" t="s">
        <v>3</v>
      </c>
      <c r="C4" s="3" t="s">
        <v>199</v>
      </c>
    </row>
    <row r="5" customFormat="false" ht="15" hidden="false" customHeight="false" outlineLevel="0" collapsed="false">
      <c r="A5" s="10" t="s">
        <v>200</v>
      </c>
      <c r="B5" s="12" t="n">
        <f aca="false">Inputs!$B$30/Inputs!$B$29</f>
        <v>0.371929824561404</v>
      </c>
      <c r="C5" s="2" t="s">
        <v>201</v>
      </c>
    </row>
    <row r="6" customFormat="false" ht="15" hidden="false" customHeight="false" outlineLevel="0" collapsed="false">
      <c r="A6" s="10" t="s">
        <v>202</v>
      </c>
      <c r="B6" s="12" t="n">
        <f aca="false">Inputs!$B$30/(Inputs!$B$30+Inputs!$B$35)</f>
        <v>0.469026548672566</v>
      </c>
      <c r="C6" s="2" t="s">
        <v>203</v>
      </c>
    </row>
    <row r="7" customFormat="false" ht="15" hidden="false" customHeight="false" outlineLevel="0" collapsed="false">
      <c r="A7" s="10" t="s">
        <v>204</v>
      </c>
      <c r="B7" s="12" t="n">
        <f aca="false">Inputs!$B$46/Inputs!$B$45</f>
        <v>0.342105263157895</v>
      </c>
      <c r="C7" s="2" t="s">
        <v>205</v>
      </c>
    </row>
    <row r="8" customFormat="false" ht="15" hidden="false" customHeight="false" outlineLevel="0" collapsed="false">
      <c r="A8" s="10" t="s">
        <v>206</v>
      </c>
      <c r="B8" s="12" t="n">
        <f aca="false">Inputs!$B$47/Inputs!$B$21</f>
        <v>0.120689655172414</v>
      </c>
      <c r="C8" s="2" t="s">
        <v>207</v>
      </c>
    </row>
    <row r="9" customFormat="false" ht="15" hidden="false" customHeight="false" outlineLevel="0" collapsed="false">
      <c r="A9" s="10" t="s">
        <v>208</v>
      </c>
      <c r="B9" s="13" t="n">
        <f aca="false">Inputs!$B$47-Inputs!$B$48</f>
        <v>-2</v>
      </c>
      <c r="C9" s="2" t="s">
        <v>209</v>
      </c>
    </row>
    <row r="10" customFormat="false" ht="15" hidden="false" customHeight="false" outlineLevel="0" collapsed="false">
      <c r="A10" s="10" t="s">
        <v>210</v>
      </c>
      <c r="B10" s="12" t="n">
        <f aca="false">Inputs!$B$48/Inputs!$B$30</f>
        <v>0.0212264150943396</v>
      </c>
      <c r="C10" s="2" t="s">
        <v>211</v>
      </c>
    </row>
    <row r="11" customFormat="false" ht="15" hidden="false" customHeight="false" outlineLevel="0" collapsed="false">
      <c r="A11" s="10" t="s">
        <v>212</v>
      </c>
      <c r="B11" s="11" t="n">
        <f aca="false">Inputs!$B$32*'Unit economics'!$B$15</f>
        <v>1046037.73584906</v>
      </c>
      <c r="C11" s="2" t="s">
        <v>213</v>
      </c>
    </row>
    <row r="12" customFormat="false" ht="15" hidden="false" customHeight="false" outlineLevel="0" collapsed="false">
      <c r="A12" s="10" t="s">
        <v>214</v>
      </c>
      <c r="B12" s="12" t="n">
        <f aca="false">Inputs!$B$32/Inputs!$B$30</f>
        <v>0.415094339622642</v>
      </c>
      <c r="C12" s="2"/>
    </row>
    <row r="13" customFormat="false" ht="15" hidden="false" customHeight="false" outlineLevel="0" collapsed="false">
      <c r="A13" s="10" t="s">
        <v>215</v>
      </c>
      <c r="B13" s="11" t="n">
        <f aca="false">B11*Inputs!$B$39</f>
        <v>52301.8867924528</v>
      </c>
      <c r="C13" s="2" t="s">
        <v>216</v>
      </c>
    </row>
    <row r="14" customFormat="false" ht="15" hidden="false" customHeight="false" outlineLevel="0" collapsed="false">
      <c r="A14" s="10" t="s">
        <v>217</v>
      </c>
      <c r="B14" s="11" t="n">
        <f aca="false">Inputs!$B$31*'Unit economics'!$B$15</f>
        <v>1473962.26415094</v>
      </c>
      <c r="C14" s="2"/>
    </row>
    <row r="15" customFormat="false" ht="15" hidden="false" customHeight="false" outlineLevel="0" collapsed="false">
      <c r="A15" s="10" t="s">
        <v>218</v>
      </c>
      <c r="B15" s="11" t="n">
        <f aca="false">B14*(Inputs!$B$39-Inputs!$B$40)</f>
        <v>29479.2452830189</v>
      </c>
      <c r="C15" s="2" t="s">
        <v>219</v>
      </c>
    </row>
    <row r="16" customFormat="false" ht="15" hidden="false" customHeight="false" outlineLevel="0" collapsed="false">
      <c r="A16" s="10" t="s">
        <v>220</v>
      </c>
      <c r="B16" s="11" t="n">
        <f aca="false">Inputs!$B$37*'Unit economics'!$B$15</f>
        <v>243679.245283019</v>
      </c>
      <c r="C16" s="2" t="s">
        <v>221</v>
      </c>
    </row>
    <row r="17" customFormat="false" ht="15" hidden="false" customHeight="false" outlineLevel="0" collapsed="false">
      <c r="A17" s="10" t="s">
        <v>222</v>
      </c>
      <c r="B17" s="11" t="n">
        <f aca="false">B16*Inputs!$B$9</f>
        <v>155954.716981132</v>
      </c>
      <c r="C17" s="2"/>
    </row>
    <row r="18" customFormat="false" ht="15" hidden="false" customHeight="false" outlineLevel="0" collapsed="false">
      <c r="A18" s="10" t="s">
        <v>223</v>
      </c>
      <c r="B18" s="13" t="n">
        <f aca="false">Inputs!$B$37/Inputs!$B$38</f>
        <v>124.242424242424</v>
      </c>
      <c r="C18" s="2" t="s">
        <v>224</v>
      </c>
    </row>
    <row r="19" customFormat="false" ht="15" hidden="false" customHeight="false" outlineLevel="0" collapsed="false">
      <c r="A19" s="10" t="s">
        <v>225</v>
      </c>
      <c r="B19" s="13" t="n">
        <f aca="false">Inputs!$B$31/5</f>
        <v>49.6</v>
      </c>
      <c r="C19" s="2" t="s">
        <v>226</v>
      </c>
    </row>
    <row r="20" customFormat="false" ht="15" hidden="false" customHeight="false" outlineLevel="0" collapsed="false">
      <c r="A20" s="10" t="s">
        <v>227</v>
      </c>
      <c r="B20" s="11" t="n">
        <f aca="false">Inputs!$B$35*'Unit economics'!$B$15</f>
        <v>2852830.18867925</v>
      </c>
      <c r="C20" s="2" t="s">
        <v>228</v>
      </c>
    </row>
    <row r="21" customFormat="false" ht="15" hidden="false" customHeight="false" outlineLevel="0" collapsed="false">
      <c r="A21" s="10" t="s">
        <v>229</v>
      </c>
      <c r="B21" s="11" t="n">
        <f aca="false">B20*Inputs!$B$9</f>
        <v>1825811.32075472</v>
      </c>
      <c r="C21" s="2"/>
    </row>
    <row r="22" customFormat="false" ht="15" hidden="false" customHeight="false" outlineLevel="0" collapsed="false">
      <c r="A22" s="10" t="s">
        <v>230</v>
      </c>
      <c r="B22" s="15" t="n">
        <f aca="false">Inputs!$B$35*Inputs!$B$20</f>
        <v>168</v>
      </c>
      <c r="C22" s="2" t="s">
        <v>231</v>
      </c>
    </row>
    <row r="23" customFormat="false" ht="15" hidden="false" customHeight="false" outlineLevel="0" collapsed="false">
      <c r="A23" s="10" t="s">
        <v>232</v>
      </c>
      <c r="B23" s="11" t="n">
        <f aca="false">Inputs!$B$43*Inputs!$B$44</f>
        <v>10660000</v>
      </c>
      <c r="C23" s="2" t="s">
        <v>233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7" min="2" style="0" width="14"/>
    <col collapsed="false" customWidth="true" hidden="false" outlineLevel="0" max="8" min="8" style="0" width="12"/>
    <col collapsed="false" customWidth="true" hidden="false" outlineLevel="0" max="9" min="9" style="0" width="42"/>
  </cols>
  <sheetData>
    <row r="1" customFormat="false" ht="16.15" hidden="false" customHeight="false" outlineLevel="0" collapsed="false">
      <c r="A1" s="1" t="s">
        <v>234</v>
      </c>
    </row>
    <row r="2" customFormat="false" ht="15" hidden="false" customHeight="false" outlineLevel="0" collapsed="false">
      <c r="A2" s="2" t="s">
        <v>235</v>
      </c>
    </row>
    <row r="4" customFormat="false" ht="15" hidden="false" customHeight="false" outlineLevel="0" collapsed="false">
      <c r="A4" s="3" t="s">
        <v>236</v>
      </c>
      <c r="B4" s="3" t="s">
        <v>3</v>
      </c>
      <c r="C4" s="3"/>
      <c r="D4" s="3"/>
      <c r="E4" s="3"/>
      <c r="F4" s="3"/>
      <c r="G4" s="3"/>
      <c r="H4" s="3"/>
      <c r="I4" s="3" t="s">
        <v>237</v>
      </c>
    </row>
    <row r="5" customFormat="false" ht="15" hidden="false" customHeight="false" outlineLevel="0" collapsed="false">
      <c r="A5" s="10" t="s">
        <v>238</v>
      </c>
      <c r="B5" s="22" t="n">
        <v>0.6</v>
      </c>
      <c r="I5" s="2" t="s">
        <v>239</v>
      </c>
    </row>
    <row r="6" customFormat="false" ht="15" hidden="false" customHeight="false" outlineLevel="0" collapsed="false">
      <c r="A6" s="10" t="s">
        <v>240</v>
      </c>
      <c r="B6" s="22" t="n">
        <v>0.15</v>
      </c>
      <c r="I6" s="2" t="s">
        <v>241</v>
      </c>
    </row>
    <row r="7" customFormat="false" ht="15" hidden="false" customHeight="false" outlineLevel="0" collapsed="false">
      <c r="A7" s="10" t="s">
        <v>242</v>
      </c>
      <c r="B7" s="22" t="n">
        <v>0.5</v>
      </c>
      <c r="I7" s="2" t="s">
        <v>243</v>
      </c>
    </row>
    <row r="8" customFormat="false" ht="15" hidden="false" customHeight="false" outlineLevel="0" collapsed="false">
      <c r="A8" s="10" t="s">
        <v>244</v>
      </c>
      <c r="B8" s="22" t="n">
        <v>0.85</v>
      </c>
      <c r="I8" s="2" t="s">
        <v>245</v>
      </c>
    </row>
    <row r="9" customFormat="false" ht="15" hidden="false" customHeight="false" outlineLevel="0" collapsed="false">
      <c r="A9" s="10" t="s">
        <v>246</v>
      </c>
      <c r="B9" s="23" t="n">
        <v>4</v>
      </c>
      <c r="I9" s="2" t="s">
        <v>247</v>
      </c>
    </row>
    <row r="10" customFormat="false" ht="15" hidden="false" customHeight="false" outlineLevel="0" collapsed="false">
      <c r="A10" s="10" t="s">
        <v>248</v>
      </c>
      <c r="B10" s="23" t="n">
        <v>2</v>
      </c>
      <c r="I10" s="2" t="s">
        <v>249</v>
      </c>
    </row>
    <row r="11" customFormat="false" ht="15" hidden="false" customHeight="false" outlineLevel="0" collapsed="false">
      <c r="A11" s="10" t="s">
        <v>250</v>
      </c>
      <c r="B11" s="23" t="n">
        <v>1</v>
      </c>
      <c r="I11" s="2" t="s">
        <v>251</v>
      </c>
    </row>
    <row r="12" customFormat="false" ht="15" hidden="false" customHeight="false" outlineLevel="0" collapsed="false">
      <c r="A12" s="10" t="s">
        <v>252</v>
      </c>
      <c r="B12" s="23" t="n">
        <v>5</v>
      </c>
      <c r="I12" s="2" t="s">
        <v>253</v>
      </c>
    </row>
    <row r="13" customFormat="false" ht="15" hidden="false" customHeight="false" outlineLevel="0" collapsed="false">
      <c r="A13" s="10" t="s">
        <v>254</v>
      </c>
      <c r="B13" s="24" t="n">
        <v>45000</v>
      </c>
      <c r="I13" s="2" t="s">
        <v>255</v>
      </c>
    </row>
    <row r="14" customFormat="false" ht="15" hidden="false" customHeight="false" outlineLevel="0" collapsed="false">
      <c r="A14" s="10" t="s">
        <v>256</v>
      </c>
      <c r="B14" s="23" t="n">
        <v>5</v>
      </c>
      <c r="I14" s="2" t="s">
        <v>257</v>
      </c>
    </row>
    <row r="15" customFormat="false" ht="15" hidden="false" customHeight="false" outlineLevel="0" collapsed="false">
      <c r="A15" s="10" t="s">
        <v>258</v>
      </c>
      <c r="B15" s="23" t="n">
        <v>3</v>
      </c>
      <c r="I15" s="2" t="s">
        <v>253</v>
      </c>
    </row>
    <row r="16" customFormat="false" ht="15" hidden="false" customHeight="false" outlineLevel="0" collapsed="false">
      <c r="A16" s="10" t="s">
        <v>259</v>
      </c>
      <c r="B16" s="23" t="n">
        <v>0</v>
      </c>
      <c r="I16" s="2" t="s">
        <v>260</v>
      </c>
    </row>
    <row r="17" customFormat="false" ht="15" hidden="false" customHeight="false" outlineLevel="0" collapsed="false">
      <c r="A17" s="10" t="s">
        <v>261</v>
      </c>
      <c r="B17" s="23" t="n">
        <v>80</v>
      </c>
      <c r="I17" s="2" t="s">
        <v>262</v>
      </c>
    </row>
    <row r="18" customFormat="false" ht="15" hidden="false" customHeight="false" outlineLevel="0" collapsed="false">
      <c r="A18" s="10" t="s">
        <v>263</v>
      </c>
      <c r="B18" s="23" t="n">
        <v>12</v>
      </c>
      <c r="I18" s="2" t="s">
        <v>264</v>
      </c>
    </row>
    <row r="19" customFormat="false" ht="15" hidden="false" customHeight="false" outlineLevel="0" collapsed="false">
      <c r="A19" s="10" t="s">
        <v>265</v>
      </c>
      <c r="B19" s="22" t="n">
        <v>0.5</v>
      </c>
      <c r="I19" s="2" t="s">
        <v>266</v>
      </c>
    </row>
    <row r="21" customFormat="false" ht="35.05" hidden="false" customHeight="false" outlineLevel="0" collapsed="false">
      <c r="A21" s="3" t="s">
        <v>267</v>
      </c>
      <c r="B21" s="3" t="s">
        <v>268</v>
      </c>
      <c r="C21" s="3" t="s">
        <v>269</v>
      </c>
      <c r="D21" s="3" t="s">
        <v>270</v>
      </c>
      <c r="E21" s="3" t="s">
        <v>271</v>
      </c>
      <c r="F21" s="3" t="s">
        <v>272</v>
      </c>
      <c r="G21" s="3" t="s">
        <v>273</v>
      </c>
      <c r="H21" s="3" t="s">
        <v>274</v>
      </c>
      <c r="I21" s="3" t="s">
        <v>275</v>
      </c>
    </row>
    <row r="22" customFormat="false" ht="48" hidden="false" customHeight="true" outlineLevel="0" collapsed="false">
      <c r="A22" s="25" t="s">
        <v>276</v>
      </c>
      <c r="B22" s="10" t="s">
        <v>277</v>
      </c>
      <c r="C22" s="11" t="n">
        <f aca="false">Inputs!$B$32*Plan!$B$5*'Unit economics'!$B$15*Inputs!$B$39</f>
        <v>31381.1320754717</v>
      </c>
      <c r="D22" s="11" t="n">
        <f aca="false">C22</f>
        <v>31381.1320754717</v>
      </c>
      <c r="E22" s="11" t="n">
        <f aca="false">D22</f>
        <v>31381.1320754717</v>
      </c>
      <c r="F22" s="26" t="n">
        <v>0</v>
      </c>
      <c r="G22" s="27" t="n">
        <v>10000</v>
      </c>
      <c r="H22" s="25" t="s">
        <v>278</v>
      </c>
      <c r="I22" s="28" t="s">
        <v>279</v>
      </c>
    </row>
    <row r="23" customFormat="false" ht="48" hidden="false" customHeight="true" outlineLevel="0" collapsed="false">
      <c r="A23" s="25" t="s">
        <v>280</v>
      </c>
      <c r="B23" s="10" t="s">
        <v>277</v>
      </c>
      <c r="C23" s="11" t="n">
        <f aca="false">Inputs!$B$37*Plan!$B$8*'Unit economics'!$B$15</f>
        <v>207127.358490566</v>
      </c>
      <c r="D23" s="11" t="n">
        <f aca="false">C23*Inputs!$B$9</f>
        <v>132561.509433962</v>
      </c>
      <c r="E23" s="18" t="n">
        <v>0</v>
      </c>
      <c r="F23" s="26" t="n">
        <v>0</v>
      </c>
      <c r="G23" s="27" t="n">
        <v>5000</v>
      </c>
      <c r="H23" s="25" t="s">
        <v>281</v>
      </c>
      <c r="I23" s="28" t="s">
        <v>282</v>
      </c>
    </row>
    <row r="24" customFormat="false" ht="48" hidden="false" customHeight="true" outlineLevel="0" collapsed="false">
      <c r="A24" s="25" t="s">
        <v>283</v>
      </c>
      <c r="B24" s="10" t="s">
        <v>277</v>
      </c>
      <c r="C24" s="11" t="n">
        <f aca="false">Inputs!$B$35*Plan!$B$6*Plan!$B$7*'Unit economics'!$B$15</f>
        <v>213962.264150943</v>
      </c>
      <c r="D24" s="11" t="n">
        <f aca="false">C24*Inputs!$B$9</f>
        <v>136935.849056604</v>
      </c>
      <c r="E24" s="11" t="n">
        <f aca="false">Inputs!$B$35*Plan!$B$6*'Unit economics'!$B$16</f>
        <v>273871.698113208</v>
      </c>
      <c r="F24" s="15" t="n">
        <f aca="false">Inputs!$B$35*Plan!$B$6*Inputs!$B$20</f>
        <v>25.2</v>
      </c>
      <c r="G24" s="27" t="n">
        <v>40000</v>
      </c>
      <c r="H24" s="25" t="s">
        <v>284</v>
      </c>
      <c r="I24" s="28" t="s">
        <v>285</v>
      </c>
    </row>
    <row r="25" customFormat="false" ht="48" hidden="false" customHeight="true" outlineLevel="0" collapsed="false">
      <c r="A25" s="25" t="s">
        <v>286</v>
      </c>
      <c r="B25" s="10" t="s">
        <v>277</v>
      </c>
      <c r="C25" s="11" t="n">
        <f aca="false">Plan!$B$10*'Lead sources'!$I$9</f>
        <v>257714.285714286</v>
      </c>
      <c r="D25" s="11" t="n">
        <f aca="false">C25*Inputs!$B$26</f>
        <v>38657.1428571429</v>
      </c>
      <c r="E25" s="11" t="n">
        <f aca="false">Plan!$B$9*'Lead sources'!$H$9*'Lead sources'!$I$9*Inputs!$B$26</f>
        <v>38657.1428571429</v>
      </c>
      <c r="F25" s="26" t="n">
        <v>0</v>
      </c>
      <c r="G25" s="27" t="n">
        <v>30000</v>
      </c>
      <c r="H25" s="25" t="s">
        <v>287</v>
      </c>
      <c r="I25" s="28" t="s">
        <v>288</v>
      </c>
    </row>
    <row r="26" customFormat="false" ht="48" hidden="false" customHeight="true" outlineLevel="0" collapsed="false">
      <c r="A26" s="25" t="s">
        <v>289</v>
      </c>
      <c r="B26" s="10" t="s">
        <v>290</v>
      </c>
      <c r="C26" s="11" t="n">
        <f aca="false">Plan!$B$11*Plan!$B$12*Plan!$B$13</f>
        <v>225000</v>
      </c>
      <c r="D26" s="11" t="n">
        <f aca="false">C26*Inputs!$B$26</f>
        <v>33750</v>
      </c>
      <c r="E26" s="11" t="n">
        <f aca="false">Plan!$B$11*Plan!$B$12*Plan!$B$19*'Unit economics'!$B$16</f>
        <v>9509.43396226415</v>
      </c>
      <c r="F26" s="15" t="n">
        <f aca="false">Plan!$B$11*Plan!$B$12*Plan!$B$19*Inputs!$B$20</f>
        <v>0.875</v>
      </c>
      <c r="G26" s="27" t="n">
        <v>10000</v>
      </c>
      <c r="H26" s="25" t="s">
        <v>291</v>
      </c>
      <c r="I26" s="28" t="s">
        <v>292</v>
      </c>
    </row>
    <row r="27" customFormat="false" ht="48" hidden="false" customHeight="true" outlineLevel="0" collapsed="false">
      <c r="A27" s="25" t="s">
        <v>293</v>
      </c>
      <c r="B27" s="10" t="s">
        <v>277</v>
      </c>
      <c r="C27" s="11" t="n">
        <f aca="false">Plan!$B$15*'Lead sources'!$B$19/'Lead sources'!$B$20</f>
        <v>172600</v>
      </c>
      <c r="D27" s="11" t="n">
        <f aca="false">C27*Inputs!$B$26</f>
        <v>25890</v>
      </c>
      <c r="E27" s="18" t="n">
        <v>0</v>
      </c>
      <c r="F27" s="26" t="n">
        <v>0</v>
      </c>
      <c r="G27" s="27" t="n">
        <v>5000</v>
      </c>
      <c r="H27" s="25" t="s">
        <v>294</v>
      </c>
      <c r="I27" s="28" t="s">
        <v>295</v>
      </c>
    </row>
    <row r="28" customFormat="false" ht="48" hidden="false" customHeight="true" outlineLevel="0" collapsed="false">
      <c r="A28" s="25" t="s">
        <v>296</v>
      </c>
      <c r="B28" s="10" t="s">
        <v>290</v>
      </c>
      <c r="C28" s="18" t="n">
        <v>0</v>
      </c>
      <c r="D28" s="18" t="n">
        <v>0</v>
      </c>
      <c r="E28" s="18" t="n">
        <v>0</v>
      </c>
      <c r="F28" s="26" t="n">
        <v>0</v>
      </c>
      <c r="G28" s="27" t="n">
        <v>35000</v>
      </c>
      <c r="H28" s="25" t="s">
        <v>297</v>
      </c>
      <c r="I28" s="28" t="s">
        <v>298</v>
      </c>
    </row>
    <row r="29" customFormat="false" ht="48" hidden="false" customHeight="true" outlineLevel="0" collapsed="false">
      <c r="A29" s="25" t="s">
        <v>299</v>
      </c>
      <c r="B29" s="10" t="s">
        <v>277</v>
      </c>
      <c r="C29" s="18" t="n">
        <v>0</v>
      </c>
      <c r="D29" s="18" t="n">
        <v>0</v>
      </c>
      <c r="E29" s="18" t="n">
        <v>0</v>
      </c>
      <c r="F29" s="26" t="n">
        <v>0</v>
      </c>
      <c r="G29" s="27" t="n">
        <v>45000</v>
      </c>
      <c r="H29" s="25" t="s">
        <v>300</v>
      </c>
      <c r="I29" s="28" t="s">
        <v>301</v>
      </c>
    </row>
    <row r="30" customFormat="false" ht="48" hidden="false" customHeight="true" outlineLevel="0" collapsed="false">
      <c r="A30" s="25" t="s">
        <v>302</v>
      </c>
      <c r="B30" s="10" t="s">
        <v>303</v>
      </c>
      <c r="C30" s="18" t="n">
        <v>0</v>
      </c>
      <c r="D30" s="18" t="n">
        <v>0</v>
      </c>
      <c r="E30" s="18" t="n">
        <v>0</v>
      </c>
      <c r="F30" s="26" t="n">
        <v>0</v>
      </c>
      <c r="G30" s="27" t="n">
        <v>15000</v>
      </c>
      <c r="H30" s="25" t="s">
        <v>304</v>
      </c>
      <c r="I30" s="28" t="s">
        <v>305</v>
      </c>
    </row>
    <row r="31" customFormat="false" ht="15" hidden="false" customHeight="false" outlineLevel="0" collapsed="false">
      <c r="A31" s="14" t="s">
        <v>306</v>
      </c>
      <c r="C31" s="21" t="n">
        <f aca="false">SUM(C22:C30)-C23</f>
        <v>900657.681940701</v>
      </c>
      <c r="D31" s="21" t="n">
        <f aca="false">SUM(D22:D30)-D23</f>
        <v>266614.123989218</v>
      </c>
      <c r="E31" s="21" t="n">
        <f aca="false">SUM(E22:E30)-E23</f>
        <v>353419.407008086</v>
      </c>
      <c r="F31" s="29" t="n">
        <f aca="false">SUM(F22:F30)-F23</f>
        <v>26.075</v>
      </c>
      <c r="G31" s="21" t="n">
        <f aca="false">SUM(G22:G30)</f>
        <v>195000</v>
      </c>
    </row>
    <row r="32" customFormat="false" ht="15" hidden="false" customHeight="false" outlineLevel="0" collapsed="false">
      <c r="A32" s="10" t="s">
        <v>307</v>
      </c>
      <c r="G32" s="11" t="n">
        <f aca="false">Inputs!$B$65-G31</f>
        <v>5000</v>
      </c>
    </row>
    <row r="33" customFormat="false" ht="15" hidden="false" customHeight="false" outlineLevel="0" collapsed="false">
      <c r="A33" s="14" t="s">
        <v>308</v>
      </c>
      <c r="G33" s="21" t="n">
        <f aca="false">G31+G32</f>
        <v>200000</v>
      </c>
    </row>
    <row r="35" customFormat="false" ht="15" hidden="false" customHeight="false" outlineLevel="0" collapsed="false">
      <c r="A35" s="14" t="s">
        <v>309</v>
      </c>
    </row>
    <row r="36" customFormat="false" ht="15" hidden="false" customHeight="false" outlineLevel="0" collapsed="false">
      <c r="A36" s="10" t="s">
        <v>310</v>
      </c>
      <c r="B36" s="15" t="n">
        <f aca="false">Plan!$F$31</f>
        <v>26.075</v>
      </c>
    </row>
    <row r="37" customFormat="false" ht="15" hidden="false" customHeight="false" outlineLevel="0" collapsed="false">
      <c r="A37" s="10" t="s">
        <v>311</v>
      </c>
      <c r="B37" s="15" t="n">
        <f aca="false">B36/Inputs!$B$19</f>
        <v>10.0288461538462</v>
      </c>
    </row>
    <row r="38" customFormat="false" ht="15" hidden="false" customHeight="false" outlineLevel="0" collapsed="false">
      <c r="A38" s="10" t="s">
        <v>312</v>
      </c>
      <c r="B38" s="11" t="n">
        <f aca="false">B37*Capacity!$B$23</f>
        <v>200996.171121127</v>
      </c>
    </row>
    <row r="39" customFormat="false" ht="15" hidden="false" customHeight="false" outlineLevel="0" collapsed="false">
      <c r="A39" s="10" t="s">
        <v>313</v>
      </c>
      <c r="B39" s="11" t="n">
        <f aca="false">E24+E26</f>
        <v>283381.132075472</v>
      </c>
    </row>
    <row r="40" customFormat="false" ht="15" hidden="false" customHeight="false" outlineLevel="0" collapsed="false">
      <c r="A40" s="10" t="s">
        <v>314</v>
      </c>
      <c r="B40" s="11" t="n">
        <f aca="false">B39-B38</f>
        <v>82384.9609543443</v>
      </c>
    </row>
    <row r="41" customFormat="false" ht="15" hidden="false" customHeight="false" outlineLevel="0" collapsed="false">
      <c r="A41" s="10" t="s">
        <v>315</v>
      </c>
      <c r="B41" s="11" t="n">
        <f aca="false">E24*5</f>
        <v>1369358.49056604</v>
      </c>
    </row>
    <row r="43" customFormat="false" ht="15" hidden="false" customHeight="false" outlineLevel="0" collapsed="false">
      <c r="A43" s="14" t="s">
        <v>316</v>
      </c>
    </row>
    <row r="44" customFormat="false" ht="15" hidden="false" customHeight="false" outlineLevel="0" collapsed="false">
      <c r="A44" s="10" t="s">
        <v>317</v>
      </c>
      <c r="B44" s="11" t="n">
        <f aca="false">Plan!$D$31</f>
        <v>266614.123989218</v>
      </c>
    </row>
    <row r="45" customFormat="false" ht="15" hidden="false" customHeight="false" outlineLevel="0" collapsed="false">
      <c r="A45" s="10" t="s">
        <v>273</v>
      </c>
      <c r="B45" s="11" t="n">
        <f aca="false">Inputs!$B$65</f>
        <v>200000</v>
      </c>
    </row>
    <row r="46" customFormat="false" ht="15" hidden="false" customHeight="false" outlineLevel="0" collapsed="false">
      <c r="A46" s="10" t="s">
        <v>318</v>
      </c>
      <c r="B46" s="11" t="n">
        <f aca="false">B44-B45</f>
        <v>66614.1239892183</v>
      </c>
    </row>
    <row r="47" customFormat="false" ht="15" hidden="false" customHeight="false" outlineLevel="0" collapsed="false">
      <c r="A47" s="10" t="s">
        <v>319</v>
      </c>
      <c r="B47" s="11" t="n">
        <f aca="false">Plan!$B$38*Plan!$B$7</f>
        <v>100498.085560564</v>
      </c>
    </row>
    <row r="48" customFormat="false" ht="15" hidden="false" customHeight="false" outlineLevel="0" collapsed="false">
      <c r="A48" s="10" t="s">
        <v>320</v>
      </c>
      <c r="B48" s="11" t="n">
        <f aca="false">B44-B45-B47</f>
        <v>-33883.9615713455</v>
      </c>
    </row>
    <row r="49" customFormat="false" ht="15" hidden="false" customHeight="false" outlineLevel="0" collapsed="false">
      <c r="A49" s="10" t="s">
        <v>321</v>
      </c>
      <c r="B49" s="11" t="n">
        <f aca="false">Plan!$E$31</f>
        <v>353419.407008086</v>
      </c>
    </row>
    <row r="50" customFormat="false" ht="15" hidden="false" customHeight="false" outlineLevel="0" collapsed="false">
      <c r="A50" s="10" t="s">
        <v>322</v>
      </c>
      <c r="B50" s="11" t="n">
        <f aca="false">B49-Plan!$B$38</f>
        <v>152423.235886959</v>
      </c>
    </row>
    <row r="51" customFormat="false" ht="15" hidden="false" customHeight="false" outlineLevel="0" collapsed="false">
      <c r="A51" s="10" t="s">
        <v>323</v>
      </c>
      <c r="B51" s="11" t="n">
        <f aca="false">D23</f>
        <v>132561.509433962</v>
      </c>
    </row>
    <row r="53" customFormat="false" ht="15" hidden="false" customHeight="false" outlineLevel="0" collapsed="false">
      <c r="A53" s="14" t="s">
        <v>324</v>
      </c>
    </row>
    <row r="54" customFormat="false" ht="23.85" hidden="false" customHeight="false" outlineLevel="0" collapsed="false">
      <c r="A54" s="3" t="s">
        <v>325</v>
      </c>
      <c r="B54" s="3" t="s">
        <v>326</v>
      </c>
      <c r="C54" s="3" t="s">
        <v>269</v>
      </c>
      <c r="D54" s="3" t="s">
        <v>327</v>
      </c>
      <c r="E54" s="3" t="s">
        <v>328</v>
      </c>
      <c r="F54" s="3" t="s">
        <v>329</v>
      </c>
      <c r="G54" s="3"/>
      <c r="H54" s="3"/>
      <c r="I54" s="3"/>
    </row>
    <row r="55" customFormat="false" ht="15" hidden="false" customHeight="false" outlineLevel="0" collapsed="false">
      <c r="A55" s="30" t="n">
        <v>0.05</v>
      </c>
      <c r="B55" s="13" t="n">
        <f aca="false">Inputs!$B$35*A55</f>
        <v>24</v>
      </c>
      <c r="C55" s="11" t="n">
        <f aca="false">B55*Plan!$B$7*'Unit economics'!$B$15</f>
        <v>71320.7547169811</v>
      </c>
      <c r="D55" s="11" t="n">
        <f aca="false">C55*Inputs!$B$9</f>
        <v>45645.2830188679</v>
      </c>
      <c r="E55" s="11" t="n">
        <f aca="false">B55*'Unit economics'!$B$16</f>
        <v>91290.5660377358</v>
      </c>
      <c r="F55" s="15" t="n">
        <f aca="false">B55*Inputs!$B$20</f>
        <v>8.4</v>
      </c>
    </row>
    <row r="56" customFormat="false" ht="15" hidden="false" customHeight="false" outlineLevel="0" collapsed="false">
      <c r="A56" s="30" t="n">
        <v>0.1</v>
      </c>
      <c r="B56" s="13" t="n">
        <f aca="false">Inputs!$B$35*A56</f>
        <v>48</v>
      </c>
      <c r="C56" s="11" t="n">
        <f aca="false">B56*Plan!$B$7*'Unit economics'!$B$15</f>
        <v>142641.509433962</v>
      </c>
      <c r="D56" s="11" t="n">
        <f aca="false">C56*Inputs!$B$9</f>
        <v>91290.5660377358</v>
      </c>
      <c r="E56" s="11" t="n">
        <f aca="false">B56*'Unit economics'!$B$16</f>
        <v>182581.132075472</v>
      </c>
      <c r="F56" s="15" t="n">
        <f aca="false">B56*Inputs!$B$20</f>
        <v>16.8</v>
      </c>
    </row>
    <row r="57" customFormat="false" ht="15" hidden="false" customHeight="false" outlineLevel="0" collapsed="false">
      <c r="A57" s="30" t="n">
        <v>0.15</v>
      </c>
      <c r="B57" s="13" t="n">
        <f aca="false">Inputs!$B$35*A57</f>
        <v>72</v>
      </c>
      <c r="C57" s="11" t="n">
        <f aca="false">B57*Plan!$B$7*'Unit economics'!$B$15</f>
        <v>213962.264150943</v>
      </c>
      <c r="D57" s="11" t="n">
        <f aca="false">C57*Inputs!$B$9</f>
        <v>136935.849056604</v>
      </c>
      <c r="E57" s="11" t="n">
        <f aca="false">B57*'Unit economics'!$B$16</f>
        <v>273871.698113208</v>
      </c>
      <c r="F57" s="15" t="n">
        <f aca="false">B57*Inputs!$B$20</f>
        <v>25.2</v>
      </c>
    </row>
    <row r="58" customFormat="false" ht="15" hidden="false" customHeight="false" outlineLevel="0" collapsed="false">
      <c r="A58" s="30" t="n">
        <v>0.25</v>
      </c>
      <c r="B58" s="13" t="n">
        <f aca="false">Inputs!$B$35*A58</f>
        <v>120</v>
      </c>
      <c r="C58" s="11" t="n">
        <f aca="false">B58*Plan!$B$7*'Unit economics'!$B$15</f>
        <v>356603.773584906</v>
      </c>
      <c r="D58" s="11" t="n">
        <f aca="false">C58*Inputs!$B$9</f>
        <v>228226.41509434</v>
      </c>
      <c r="E58" s="11" t="n">
        <f aca="false">B58*'Unit economics'!$B$16</f>
        <v>456452.830188679</v>
      </c>
      <c r="F58" s="15" t="n">
        <f aca="false">B58*Inputs!$B$20</f>
        <v>42</v>
      </c>
    </row>
    <row r="60" customFormat="false" ht="15" hidden="false" customHeight="false" outlineLevel="0" collapsed="false">
      <c r="A60" s="14" t="s">
        <v>330</v>
      </c>
    </row>
    <row r="61" customFormat="false" ht="23.85" hidden="false" customHeight="false" outlineLevel="0" collapsed="false">
      <c r="A61" s="3" t="s">
        <v>2</v>
      </c>
      <c r="B61" s="3" t="s">
        <v>331</v>
      </c>
      <c r="C61" s="3" t="s">
        <v>332</v>
      </c>
      <c r="D61" s="3"/>
      <c r="E61" s="3"/>
      <c r="F61" s="3"/>
      <c r="G61" s="3"/>
      <c r="H61" s="3"/>
      <c r="I61" s="3"/>
    </row>
    <row r="62" customFormat="false" ht="15" hidden="false" customHeight="false" outlineLevel="0" collapsed="false">
      <c r="A62" s="10" t="s">
        <v>333</v>
      </c>
      <c r="B62" s="27" t="n">
        <v>12000</v>
      </c>
      <c r="C62" s="27" t="n">
        <v>12000</v>
      </c>
    </row>
    <row r="63" customFormat="false" ht="15" hidden="false" customHeight="false" outlineLevel="0" collapsed="false">
      <c r="A63" s="10" t="s">
        <v>334</v>
      </c>
      <c r="B63" s="27" t="n">
        <v>15000</v>
      </c>
      <c r="C63" s="27" t="n">
        <v>0</v>
      </c>
    </row>
    <row r="64" customFormat="false" ht="15" hidden="false" customHeight="false" outlineLevel="0" collapsed="false">
      <c r="A64" s="10" t="s">
        <v>335</v>
      </c>
      <c r="B64" s="27" t="n">
        <v>10000</v>
      </c>
      <c r="C64" s="27" t="n">
        <v>2000</v>
      </c>
    </row>
    <row r="65" customFormat="false" ht="15" hidden="false" customHeight="false" outlineLevel="0" collapsed="false">
      <c r="A65" s="10" t="s">
        <v>336</v>
      </c>
      <c r="B65" s="27" t="n">
        <v>5000</v>
      </c>
      <c r="C65" s="27" t="n">
        <v>0</v>
      </c>
    </row>
    <row r="66" customFormat="false" ht="15" hidden="false" customHeight="false" outlineLevel="0" collapsed="false">
      <c r="A66" s="10" t="s">
        <v>337</v>
      </c>
      <c r="B66" s="27" t="n">
        <v>3000</v>
      </c>
      <c r="C66" s="27" t="n">
        <v>1500</v>
      </c>
    </row>
    <row r="67" customFormat="false" ht="15" hidden="false" customHeight="false" outlineLevel="0" collapsed="false">
      <c r="A67" s="14" t="s">
        <v>338</v>
      </c>
      <c r="B67" s="11" t="n">
        <f aca="false">SUM(B62:B66)</f>
        <v>45000</v>
      </c>
      <c r="C67" s="11" t="n">
        <f aca="false">SUM(C62:C66)</f>
        <v>15500</v>
      </c>
    </row>
    <row r="69" customFormat="false" ht="15" hidden="false" customHeight="false" outlineLevel="0" collapsed="false">
      <c r="A69" s="14" t="s">
        <v>339</v>
      </c>
    </row>
    <row r="70" customFormat="false" ht="15" hidden="false" customHeight="false" outlineLevel="0" collapsed="false">
      <c r="A70" s="10" t="s">
        <v>340</v>
      </c>
      <c r="B70" s="27" t="n">
        <v>15000</v>
      </c>
    </row>
    <row r="71" customFormat="false" ht="15" hidden="false" customHeight="false" outlineLevel="0" collapsed="false">
      <c r="A71" s="10" t="s">
        <v>341</v>
      </c>
      <c r="B71" s="27" t="n">
        <v>5000</v>
      </c>
    </row>
    <row r="72" customFormat="false" ht="15" hidden="false" customHeight="false" outlineLevel="0" collapsed="false">
      <c r="A72" s="10" t="s">
        <v>342</v>
      </c>
      <c r="B72" s="27" t="n">
        <v>10000</v>
      </c>
    </row>
    <row r="73" customFormat="false" ht="15" hidden="false" customHeight="false" outlineLevel="0" collapsed="false">
      <c r="A73" s="14" t="s">
        <v>343</v>
      </c>
      <c r="B73" s="11" t="n">
        <f aca="false">SUM(B70:B72)</f>
        <v>30000</v>
      </c>
    </row>
    <row r="75" customFormat="false" ht="15" hidden="false" customHeight="false" outlineLevel="0" collapsed="false">
      <c r="A75" s="14" t="s">
        <v>344</v>
      </c>
    </row>
    <row r="76" customFormat="false" ht="15" hidden="false" customHeight="false" outlineLevel="0" collapsed="false">
      <c r="A76" s="10" t="s">
        <v>345</v>
      </c>
      <c r="B76" s="27" t="n">
        <v>12000</v>
      </c>
    </row>
    <row r="77" customFormat="false" ht="15" hidden="false" customHeight="false" outlineLevel="0" collapsed="false">
      <c r="A77" s="10" t="s">
        <v>346</v>
      </c>
      <c r="B77" s="27" t="n">
        <v>8000</v>
      </c>
    </row>
    <row r="78" customFormat="false" ht="15" hidden="false" customHeight="false" outlineLevel="0" collapsed="false">
      <c r="A78" s="10" t="s">
        <v>347</v>
      </c>
      <c r="B78" s="27" t="n">
        <v>10000</v>
      </c>
    </row>
    <row r="79" customFormat="false" ht="15" hidden="false" customHeight="false" outlineLevel="0" collapsed="false">
      <c r="A79" s="10" t="s">
        <v>348</v>
      </c>
      <c r="B79" s="27" t="n">
        <v>5000</v>
      </c>
    </row>
    <row r="80" customFormat="false" ht="15" hidden="false" customHeight="false" outlineLevel="0" collapsed="false">
      <c r="A80" s="14" t="s">
        <v>349</v>
      </c>
      <c r="B80" s="11" t="n">
        <f aca="false">SUM(B76:B79)</f>
        <v>35000</v>
      </c>
    </row>
    <row r="82" customFormat="false" ht="15" hidden="false" customHeight="false" outlineLevel="0" collapsed="false">
      <c r="A82" s="14" t="s">
        <v>350</v>
      </c>
    </row>
    <row r="83" customFormat="false" ht="15" hidden="false" customHeight="false" outlineLevel="0" collapsed="false">
      <c r="A83" s="10" t="s">
        <v>351</v>
      </c>
      <c r="B83" s="13" t="n">
        <f aca="false">Inputs!$B$33</f>
        <v>68</v>
      </c>
    </row>
    <row r="84" customFormat="false" ht="15" hidden="false" customHeight="false" outlineLevel="0" collapsed="false">
      <c r="A84" s="10" t="s">
        <v>352</v>
      </c>
      <c r="B84" s="13" t="n">
        <f aca="false">Inputs!$B$37</f>
        <v>41</v>
      </c>
    </row>
    <row r="85" customFormat="false" ht="15" hidden="false" customHeight="false" outlineLevel="0" collapsed="false">
      <c r="A85" s="10" t="s">
        <v>353</v>
      </c>
      <c r="B85" s="13" t="n">
        <f aca="false">Plan!$B$17/2</f>
        <v>40</v>
      </c>
    </row>
    <row r="86" customFormat="false" ht="15" hidden="false" customHeight="false" outlineLevel="0" collapsed="false">
      <c r="A86" s="10" t="s">
        <v>354</v>
      </c>
      <c r="B86" s="13" t="n">
        <f aca="false">Inputs!$B$43/2</f>
        <v>26</v>
      </c>
    </row>
    <row r="87" customFormat="false" ht="15" hidden="false" customHeight="false" outlineLevel="0" collapsed="false">
      <c r="A87" s="10" t="s">
        <v>355</v>
      </c>
      <c r="B87" s="13" t="n">
        <f aca="false">SUM(B83:B86)</f>
        <v>175</v>
      </c>
    </row>
    <row r="88" customFormat="false" ht="15" hidden="false" customHeight="false" outlineLevel="0" collapsed="false">
      <c r="A88" s="10" t="s">
        <v>356</v>
      </c>
      <c r="B88" s="15" t="n">
        <f aca="false">B87/Plan!$B$18</f>
        <v>14.5833333333333</v>
      </c>
    </row>
    <row r="89" customFormat="false" ht="43.5" hidden="false" customHeight="true" outlineLevel="0" collapsed="false">
      <c r="A89" s="10" t="s">
        <v>357</v>
      </c>
      <c r="B89" s="28" t="s">
        <v>358</v>
      </c>
    </row>
    <row r="91" customFormat="false" ht="15" hidden="false" customHeight="false" outlineLevel="0" collapsed="false">
      <c r="A91" s="14" t="s">
        <v>359</v>
      </c>
    </row>
    <row r="92" customFormat="false" ht="15" hidden="false" customHeight="false" outlineLevel="0" collapsed="false">
      <c r="A92" s="10" t="s">
        <v>360</v>
      </c>
      <c r="B92" s="31" t="n">
        <v>0.08</v>
      </c>
    </row>
    <row r="93" customFormat="false" ht="15" hidden="false" customHeight="false" outlineLevel="0" collapsed="false">
      <c r="A93" s="10" t="s">
        <v>361</v>
      </c>
      <c r="B93" s="13" t="n">
        <f aca="false">Inputs!$B$35/2</f>
        <v>240</v>
      </c>
    </row>
    <row r="94" customFormat="false" ht="15" hidden="false" customHeight="false" outlineLevel="0" collapsed="false">
      <c r="A94" s="10" t="s">
        <v>362</v>
      </c>
      <c r="B94" s="13" t="n">
        <f aca="false">Plan!$B$17/2</f>
        <v>40</v>
      </c>
    </row>
    <row r="95" customFormat="false" ht="15" hidden="false" customHeight="false" outlineLevel="0" collapsed="false">
      <c r="A95" s="10" t="s">
        <v>363</v>
      </c>
      <c r="B95" s="12" t="n">
        <f aca="false">2.8*SQRT(2*B92*(1-B92)/B93)</f>
        <v>0.0693435889850917</v>
      </c>
    </row>
    <row r="96" customFormat="false" ht="15" hidden="false" customHeight="false" outlineLevel="0" collapsed="false">
      <c r="A96" s="10" t="s">
        <v>364</v>
      </c>
      <c r="B96" s="12" t="n">
        <f aca="false">2.8*SQRT(2*B92*(1-B92)/B94)</f>
        <v>0.169856409946755</v>
      </c>
    </row>
    <row r="97" customFormat="false" ht="43.5" hidden="false" customHeight="true" outlineLevel="0" collapsed="false">
      <c r="A97" s="10" t="s">
        <v>365</v>
      </c>
      <c r="B97" s="28" t="s">
        <v>366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3" min="2" style="0" width="60"/>
  </cols>
  <sheetData>
    <row r="1" customFormat="false" ht="16.15" hidden="false" customHeight="false" outlineLevel="0" collapsed="false">
      <c r="A1" s="1" t="s">
        <v>367</v>
      </c>
    </row>
    <row r="2" customFormat="false" ht="15" hidden="false" customHeight="false" outlineLevel="0" collapsed="false">
      <c r="A2" s="2" t="s">
        <v>368</v>
      </c>
    </row>
    <row r="4" customFormat="false" ht="15" hidden="false" customHeight="false" outlineLevel="0" collapsed="false">
      <c r="A4" s="3" t="s">
        <v>369</v>
      </c>
      <c r="B4" s="3" t="s">
        <v>370</v>
      </c>
      <c r="C4" s="3" t="s">
        <v>371</v>
      </c>
    </row>
    <row r="5" customFormat="false" ht="150" hidden="false" customHeight="true" outlineLevel="0" collapsed="false">
      <c r="A5" s="14" t="s">
        <v>277</v>
      </c>
      <c r="B5" s="25" t="s">
        <v>372</v>
      </c>
      <c r="C5" s="25" t="s">
        <v>373</v>
      </c>
    </row>
    <row r="6" customFormat="false" ht="150" hidden="false" customHeight="true" outlineLevel="0" collapsed="false">
      <c r="A6" s="14" t="s">
        <v>290</v>
      </c>
      <c r="B6" s="25" t="s">
        <v>374</v>
      </c>
      <c r="C6" s="25" t="s">
        <v>375</v>
      </c>
    </row>
    <row r="7" customFormat="false" ht="150" hidden="false" customHeight="true" outlineLevel="0" collapsed="false">
      <c r="A7" s="14" t="s">
        <v>303</v>
      </c>
      <c r="B7" s="25" t="s">
        <v>376</v>
      </c>
      <c r="C7" s="25" t="s">
        <v>377</v>
      </c>
    </row>
    <row r="8" customFormat="false" ht="150" hidden="false" customHeight="true" outlineLevel="0" collapsed="false">
      <c r="A8" s="14" t="s">
        <v>378</v>
      </c>
      <c r="B8" s="25" t="s">
        <v>379</v>
      </c>
      <c r="C8" s="25" t="s">
        <v>380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54"/>
    <col collapsed="false" customWidth="true" hidden="false" outlineLevel="0" max="3" min="3" style="0" width="18"/>
    <col collapsed="false" customWidth="true" hidden="false" outlineLevel="0" max="4" min="4" style="0" width="54"/>
  </cols>
  <sheetData>
    <row r="1" customFormat="false" ht="16.15" hidden="false" customHeight="false" outlineLevel="0" collapsed="false">
      <c r="A1" s="1" t="s">
        <v>381</v>
      </c>
    </row>
    <row r="2" customFormat="false" ht="15" hidden="false" customHeight="false" outlineLevel="0" collapsed="false">
      <c r="A2" s="2" t="s">
        <v>382</v>
      </c>
    </row>
    <row r="4" customFormat="false" ht="15" hidden="false" customHeight="false" outlineLevel="0" collapsed="false">
      <c r="A4" s="3" t="s">
        <v>383</v>
      </c>
      <c r="B4" s="3" t="s">
        <v>112</v>
      </c>
      <c r="C4" s="3" t="s">
        <v>384</v>
      </c>
      <c r="D4" s="3" t="s">
        <v>385</v>
      </c>
    </row>
    <row r="5" customFormat="false" ht="45.75" hidden="false" customHeight="true" outlineLevel="0" collapsed="false">
      <c r="A5" s="14" t="s">
        <v>386</v>
      </c>
      <c r="B5" s="25" t="s">
        <v>387</v>
      </c>
      <c r="C5" s="25" t="s">
        <v>388</v>
      </c>
      <c r="D5" s="25" t="s">
        <v>389</v>
      </c>
    </row>
    <row r="6" customFormat="false" ht="45.75" hidden="false" customHeight="true" outlineLevel="0" collapsed="false">
      <c r="A6" s="14" t="s">
        <v>386</v>
      </c>
      <c r="B6" s="25" t="s">
        <v>390</v>
      </c>
      <c r="C6" s="25" t="s">
        <v>391</v>
      </c>
      <c r="D6" s="25" t="s">
        <v>392</v>
      </c>
    </row>
    <row r="7" customFormat="false" ht="45.75" hidden="false" customHeight="true" outlineLevel="0" collapsed="false">
      <c r="A7" s="14" t="s">
        <v>386</v>
      </c>
      <c r="B7" s="25" t="s">
        <v>393</v>
      </c>
      <c r="C7" s="25" t="s">
        <v>394</v>
      </c>
      <c r="D7" s="25" t="s">
        <v>395</v>
      </c>
    </row>
    <row r="8" customFormat="false" ht="45.75" hidden="false" customHeight="true" outlineLevel="0" collapsed="false">
      <c r="A8" s="14" t="s">
        <v>386</v>
      </c>
      <c r="B8" s="25" t="s">
        <v>396</v>
      </c>
      <c r="C8" s="25" t="s">
        <v>397</v>
      </c>
      <c r="D8" s="25" t="s">
        <v>398</v>
      </c>
    </row>
    <row r="9" customFormat="false" ht="45.75" hidden="false" customHeight="true" outlineLevel="0" collapsed="false">
      <c r="A9" s="14" t="s">
        <v>386</v>
      </c>
      <c r="B9" s="25" t="s">
        <v>399</v>
      </c>
      <c r="C9" s="25" t="s">
        <v>400</v>
      </c>
      <c r="D9" s="25" t="s">
        <v>401</v>
      </c>
    </row>
    <row r="10" customFormat="false" ht="45.75" hidden="false" customHeight="true" outlineLevel="0" collapsed="false">
      <c r="A10" s="14" t="s">
        <v>386</v>
      </c>
      <c r="B10" s="25" t="s">
        <v>402</v>
      </c>
      <c r="C10" s="25" t="s">
        <v>403</v>
      </c>
      <c r="D10" s="25" t="s">
        <v>404</v>
      </c>
    </row>
    <row r="11" customFormat="false" ht="45.75" hidden="false" customHeight="true" outlineLevel="0" collapsed="false">
      <c r="A11" s="14" t="s">
        <v>405</v>
      </c>
      <c r="B11" s="25" t="s">
        <v>406</v>
      </c>
      <c r="C11" s="25" t="s">
        <v>407</v>
      </c>
      <c r="D11" s="25" t="s">
        <v>408</v>
      </c>
    </row>
    <row r="12" customFormat="false" ht="45.75" hidden="false" customHeight="true" outlineLevel="0" collapsed="false">
      <c r="A12" s="14" t="s">
        <v>405</v>
      </c>
      <c r="B12" s="25" t="s">
        <v>409</v>
      </c>
      <c r="C12" s="25" t="s">
        <v>410</v>
      </c>
      <c r="D12" s="25" t="s">
        <v>411</v>
      </c>
    </row>
    <row r="13" customFormat="false" ht="45.75" hidden="false" customHeight="true" outlineLevel="0" collapsed="false">
      <c r="A13" s="14" t="s">
        <v>412</v>
      </c>
      <c r="B13" s="25" t="s">
        <v>413</v>
      </c>
      <c r="C13" s="25" t="s">
        <v>414</v>
      </c>
      <c r="D13" s="25" t="s">
        <v>415</v>
      </c>
    </row>
    <row r="14" customFormat="false" ht="45.75" hidden="false" customHeight="true" outlineLevel="0" collapsed="false">
      <c r="A14" s="14" t="s">
        <v>416</v>
      </c>
      <c r="B14" s="25" t="s">
        <v>417</v>
      </c>
      <c r="C14" s="25" t="s">
        <v>418</v>
      </c>
      <c r="D14" s="25" t="s">
        <v>419</v>
      </c>
    </row>
    <row r="15" customFormat="false" ht="45.75" hidden="false" customHeight="true" outlineLevel="0" collapsed="false">
      <c r="A15" s="14" t="s">
        <v>416</v>
      </c>
      <c r="B15" s="25" t="s">
        <v>420</v>
      </c>
      <c r="C15" s="25" t="s">
        <v>421</v>
      </c>
      <c r="D15" s="25" t="s">
        <v>422</v>
      </c>
    </row>
    <row r="16" customFormat="false" ht="45.75" hidden="false" customHeight="true" outlineLevel="0" collapsed="false">
      <c r="A16" s="14" t="s">
        <v>423</v>
      </c>
      <c r="B16" s="25" t="s">
        <v>424</v>
      </c>
      <c r="C16" s="25" t="s">
        <v>425</v>
      </c>
      <c r="D16" s="25" t="s">
        <v>426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2" min="2" style="0" width="16"/>
    <col collapsed="false" customWidth="true" hidden="false" outlineLevel="0" max="3" min="3" style="0" width="60"/>
  </cols>
  <sheetData>
    <row r="1" customFormat="false" ht="16.15" hidden="false" customHeight="false" outlineLevel="0" collapsed="false">
      <c r="A1" s="1" t="s">
        <v>427</v>
      </c>
    </row>
    <row r="2" customFormat="false" ht="15" hidden="false" customHeight="false" outlineLevel="0" collapsed="false">
      <c r="A2" s="2" t="s">
        <v>428</v>
      </c>
    </row>
    <row r="4" customFormat="false" ht="15" hidden="false" customHeight="false" outlineLevel="0" collapsed="false">
      <c r="A4" s="3" t="s">
        <v>429</v>
      </c>
      <c r="B4" s="3" t="s">
        <v>3</v>
      </c>
      <c r="C4" s="3" t="s">
        <v>430</v>
      </c>
    </row>
    <row r="5" customFormat="false" ht="39.75" hidden="false" customHeight="true" outlineLevel="0" collapsed="false">
      <c r="A5" s="25" t="s">
        <v>431</v>
      </c>
      <c r="B5" s="13" t="n">
        <f aca="false">Inputs!$B$52</f>
        <v>28</v>
      </c>
      <c r="C5" s="28" t="s">
        <v>432</v>
      </c>
    </row>
    <row r="6" customFormat="false" ht="39.75" hidden="false" customHeight="true" outlineLevel="0" collapsed="false">
      <c r="A6" s="25" t="s">
        <v>433</v>
      </c>
      <c r="B6" s="15" t="n">
        <f aca="false">B5*3.6</f>
        <v>100.8</v>
      </c>
      <c r="C6" s="28" t="s">
        <v>434</v>
      </c>
    </row>
    <row r="7" customFormat="false" ht="39.75" hidden="false" customHeight="true" outlineLevel="0" collapsed="false">
      <c r="A7" s="25" t="s">
        <v>435</v>
      </c>
      <c r="B7" s="13" t="n">
        <f aca="false">Inputs!$B$45</f>
        <v>76</v>
      </c>
      <c r="C7" s="28" t="s">
        <v>436</v>
      </c>
    </row>
    <row r="8" customFormat="false" ht="39.75" hidden="false" customHeight="true" outlineLevel="0" collapsed="false">
      <c r="A8" s="25" t="s">
        <v>437</v>
      </c>
      <c r="B8" s="13" t="n">
        <f aca="false">B5*8</f>
        <v>224</v>
      </c>
      <c r="C8" s="28" t="s">
        <v>438</v>
      </c>
    </row>
    <row r="9" customFormat="false" ht="39.75" hidden="false" customHeight="true" outlineLevel="0" collapsed="false">
      <c r="A9" s="25" t="s">
        <v>439</v>
      </c>
      <c r="B9" s="13" t="n">
        <f aca="false">Inputs!$B$41</f>
        <v>164</v>
      </c>
      <c r="C9" s="28" t="s">
        <v>440</v>
      </c>
    </row>
    <row r="10" customFormat="false" ht="39.75" hidden="false" customHeight="true" outlineLevel="0" collapsed="false">
      <c r="A10" s="25" t="s">
        <v>441</v>
      </c>
      <c r="B10" s="15" t="n">
        <f aca="false">Capacity!$B$8</f>
        <v>299.2</v>
      </c>
      <c r="C10" s="28" t="s">
        <v>442</v>
      </c>
    </row>
    <row r="11" customFormat="false" ht="39.75" hidden="false" customHeight="true" outlineLevel="0" collapsed="false">
      <c r="A11" s="25" t="s">
        <v>443</v>
      </c>
      <c r="B11" s="15" t="n">
        <f aca="false">Capacity!$B$11</f>
        <v>30.4615384615385</v>
      </c>
      <c r="C11" s="28" t="s">
        <v>444</v>
      </c>
    </row>
    <row r="12" customFormat="false" ht="39.75" hidden="false" customHeight="true" outlineLevel="0" collapsed="false">
      <c r="A12" s="25" t="s">
        <v>445</v>
      </c>
      <c r="B12" s="32" t="n">
        <f aca="false">Inputs!$B$56/Inputs!$B$55</f>
        <v>0.001484375</v>
      </c>
      <c r="C12" s="28" t="s">
        <v>446</v>
      </c>
    </row>
    <row r="13" customFormat="false" ht="39.75" hidden="false" customHeight="true" outlineLevel="0" collapsed="false">
      <c r="A13" s="25" t="s">
        <v>447</v>
      </c>
      <c r="B13" s="12" t="n">
        <f aca="false">Inputs!$B$56/(Inputs!$B$56+Inputs!$B$57)</f>
        <v>0.0442890442890443</v>
      </c>
      <c r="C13" s="28" t="s">
        <v>448</v>
      </c>
    </row>
    <row r="14" customFormat="false" ht="39.75" hidden="false" customHeight="true" outlineLevel="0" collapsed="false">
      <c r="A14" s="25" t="s">
        <v>449</v>
      </c>
      <c r="B14" s="12" t="n">
        <f aca="false">Inputs!$B$56/Inputs!$B$60</f>
        <v>0.00979381443298969</v>
      </c>
      <c r="C14" s="28" t="s">
        <v>450</v>
      </c>
    </row>
    <row r="15" customFormat="false" ht="39.75" hidden="false" customHeight="true" outlineLevel="0" collapsed="false">
      <c r="A15" s="25" t="s">
        <v>451</v>
      </c>
      <c r="B15" s="11" t="n">
        <f aca="false">Inputs!$B$41*Inputs!$B$44</f>
        <v>33620000</v>
      </c>
      <c r="C15" s="28" t="s">
        <v>452</v>
      </c>
    </row>
    <row r="16" customFormat="false" ht="39.75" hidden="false" customHeight="true" outlineLevel="0" collapsed="false">
      <c r="A16" s="25" t="s">
        <v>453</v>
      </c>
      <c r="B16" s="11" t="n">
        <f aca="false">Inputs!$B$5/(1+Inputs!$B$15)</f>
        <v>7368421.05263158</v>
      </c>
      <c r="C16" s="28" t="s">
        <v>454</v>
      </c>
    </row>
    <row r="17" customFormat="false" ht="39.75" hidden="false" customHeight="true" outlineLevel="0" collapsed="false">
      <c r="A17" s="25" t="s">
        <v>455</v>
      </c>
      <c r="B17" s="11" t="n">
        <f aca="false">SUMPRODUCT(Inputs!$B$5*(1+Inputs!$B$15)^(-{0,1,2,3,4,5,6,7}/2))-8*Inputs!$B$12</f>
        <v>51346053.8222714</v>
      </c>
      <c r="C17" s="28" t="s">
        <v>456</v>
      </c>
    </row>
    <row r="18" customFormat="false" ht="39.75" hidden="false" customHeight="true" outlineLevel="0" collapsed="false">
      <c r="A18" s="25" t="s">
        <v>457</v>
      </c>
      <c r="B18" s="13" t="n">
        <f aca="false">Inputs!$B$37</f>
        <v>41</v>
      </c>
      <c r="C18" s="28" t="s">
        <v>458</v>
      </c>
    </row>
    <row r="19" customFormat="false" ht="39.75" hidden="false" customHeight="true" outlineLevel="0" collapsed="false">
      <c r="A19" s="25" t="s">
        <v>459</v>
      </c>
      <c r="B19" s="13" t="n">
        <f aca="false">'Installed base'!$B$18</f>
        <v>124.242424242424</v>
      </c>
      <c r="C19" s="28" t="s">
        <v>460</v>
      </c>
    </row>
    <row r="20" customFormat="false" ht="39.75" hidden="false" customHeight="true" outlineLevel="0" collapsed="false">
      <c r="A20" s="25" t="s">
        <v>461</v>
      </c>
      <c r="B20" s="12" t="n">
        <f aca="false">Inputs!$B$8/(Inputs!$B$5/(1+Inputs!$B$15)*Inputs!$B$16)-1</f>
        <v>0.0687500000000001</v>
      </c>
      <c r="C20" s="28" t="s">
        <v>462</v>
      </c>
    </row>
    <row r="21" customFormat="false" ht="39.75" hidden="false" customHeight="true" outlineLevel="0" collapsed="false">
      <c r="A21" s="25" t="s">
        <v>463</v>
      </c>
      <c r="B21" s="30" t="n">
        <v>0.71</v>
      </c>
      <c r="C21" s="28" t="s">
        <v>464</v>
      </c>
    </row>
    <row r="22" customFormat="false" ht="39.75" hidden="false" customHeight="true" outlineLevel="0" collapsed="false">
      <c r="A22" s="25" t="s">
        <v>465</v>
      </c>
      <c r="B22" s="12" t="n">
        <f aca="false">'Lead sources'!H5</f>
        <v>0.00952380952380953</v>
      </c>
      <c r="C22" s="28" t="s">
        <v>466</v>
      </c>
    </row>
    <row r="23" customFormat="false" ht="39.75" hidden="false" customHeight="true" outlineLevel="0" collapsed="false">
      <c r="A23" s="25" t="s">
        <v>467</v>
      </c>
      <c r="B23" s="13" t="n">
        <f aca="false">Inputs!$B$41-154</f>
        <v>10</v>
      </c>
      <c r="C23" s="28" t="s">
        <v>468</v>
      </c>
    </row>
    <row r="24" customFormat="false" ht="39.75" hidden="false" customHeight="true" outlineLevel="0" collapsed="false">
      <c r="A24" s="25" t="s">
        <v>469</v>
      </c>
      <c r="B24" s="11" t="n">
        <f aca="false">Inputs!$B$5/(1+Inputs!$B$15)-Inputs!$B$28/Inputs!$B$27*Inputs!$B$25</f>
        <v>7325442.48120301</v>
      </c>
      <c r="C24" s="28" t="s">
        <v>470</v>
      </c>
    </row>
    <row r="25" customFormat="false" ht="39.75" hidden="false" customHeight="true" outlineLevel="0" collapsed="false">
      <c r="A25" s="25" t="s">
        <v>471</v>
      </c>
      <c r="B25" s="11" t="n">
        <f aca="false">Inputs!$B$23</f>
        <v>6759000</v>
      </c>
      <c r="C25" s="28" t="s">
        <v>472</v>
      </c>
    </row>
    <row r="26" customFormat="false" ht="39.75" hidden="false" customHeight="true" outlineLevel="0" collapsed="false">
      <c r="A26" s="25" t="s">
        <v>473</v>
      </c>
      <c r="B26" s="33" t="s">
        <v>474</v>
      </c>
      <c r="C26" s="28" t="s">
        <v>475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2026-09-02T01:36:28Z</dcterms:created>
  <dc:creator>openpyxl</dc:creator>
  <dc:description/>
  <dc:language>en-US</dc:language>
  <cp:lastModifiedBy/>
  <dcterms:modified xsi:type="dcterms:W3CDTF">2026-09-02T01:36:28Z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